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94d9ce96a44b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508e286cc3554bd0"/>
    <x:sheet xmlns:r="http://schemas.openxmlformats.org/officeDocument/2006/relationships" name="导入明细" sheetId="2" r:id="R5ddd247f71c54fe6"/>
    <x:sheet xmlns:r="http://schemas.openxmlformats.org/officeDocument/2006/relationships" name="字段字典" sheetId="3" r:id="R1e3b7e4588cf4b37"/>
    <x:sheet xmlns:r="http://schemas.openxmlformats.org/officeDocument/2006/relationships" name="验收预期" sheetId="4" r:id="R3f223d543f8e4a5a"/>
    <x:sheet xmlns:r="http://schemas.openxmlformats.org/officeDocument/2006/relationships" name="文件与重测" sheetId="5" r:id="R19c35b5189ac4b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13">
    <x:font>
      <x:sz val="11"/>
      <x:name val="Carlito"/>
    </x:font>
    <x:font>
      <x:b/>
      <x:sz val="11"/>
      <x:color rgb="FFFFFFFF"/>
      <x:name val="Carlito"/>
    </x:font>
    <x:font>
      <x:sz val="11"/>
      <x:color rgb="FF475569"/>
      <x:name val="Carlito"/>
    </x:font>
    <x:font>
      <x:b/>
      <x:sz val="11"/>
      <x:color rgb="FF475569"/>
      <x:name val="Carlito"/>
    </x:font>
    <x:font>
      <x:b/>
      <x:sz val="11"/>
      <x:color rgb="FF0F766E"/>
      <x:name val="Carlito"/>
    </x:font>
    <x:font>
      <x:sz val="11"/>
      <x:color rgb="FF92400E"/>
      <x:name val="Carlito"/>
    </x:font>
    <x:font>
      <x:b/>
      <x:sz val="10"/>
      <x:color rgb="FFFFFFFF"/>
      <x:name val="Carlito"/>
    </x:font>
    <x:font>
      <x:sz val="10"/>
      <x:color rgb="FF475569"/>
      <x:name val="Carlito"/>
    </x:font>
    <x:font>
      <x:sz val="10"/>
      <x:name val="Carlito"/>
    </x:font>
    <x:font>
      <x:b/>
      <x:sz val="10"/>
      <x:color rgb="FF475569"/>
      <x:name val="Carlito"/>
    </x:font>
    <x:font>
      <x:b/>
      <x:sz val="10"/>
      <x:color rgb="FF0F766E"/>
      <x:name val="Carlito"/>
    </x:font>
    <x:font>
      <x:sz val="10"/>
      <x:color rgb="FF92400E"/>
      <x:name val="Carlito"/>
    </x:font>
    <x:font>
      <x:b/>
      <x:sz val="16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FFF5DB"/>
      </x:patternFill>
    </x:fill>
  </x:fills>
  <x:borders count="13">
    <x:border/>
    <x:border>
      <x:left style="thin">
        <x:color rgb="FFD6E0E8"/>
      </x:left>
      <x:right style="thin">
        <x:color rgb="FFD6E0E8"/>
      </x:right>
      <x:top style="thin">
        <x:color rgb="FFD6E0E8"/>
      </x:top>
      <x:bottom style="thin">
        <x:color rgb="FFD6E0E8"/>
      </x:bottom>
    </x:border>
    <x:border>
      <x:right style="thin">
        <x:color rgb="FFB6D4CF"/>
      </x:right>
    </x:border>
    <x:border>
      <x:left style="thin">
        <x:color rgb="FFB6D4CF"/>
      </x:left>
      <x:right style="thin">
        <x:color rgb="FFB6D4CF"/>
      </x:right>
    </x:border>
    <x:border>
      <x:left style="thin">
        <x:color rgb="FFB6D4CF"/>
      </x:left>
    </x:border>
    <x:border>
      <x:right style="thin">
        <x:color rgb="FFD6E0E8"/>
      </x:right>
      <x:bottom style="thin">
        <x:color rgb="FFD6E0E8"/>
      </x:bottom>
    </x:border>
    <x:border>
      <x:left style="thin">
        <x:color rgb="FFD6E0E8"/>
      </x:left>
      <x:right style="thin">
        <x:color rgb="FFD6E0E8"/>
      </x:right>
      <x:bottom style="thin">
        <x:color rgb="FFD6E0E8"/>
      </x:bottom>
    </x:border>
    <x:border>
      <x:left style="thin">
        <x:color rgb="FFD6E0E8"/>
      </x:left>
      <x:bottom style="thin">
        <x:color rgb="FFD6E0E8"/>
      </x:bottom>
    </x:border>
    <x:border>
      <x:right style="thin">
        <x:color rgb="FFD6E0E8"/>
      </x:right>
      <x:top style="thin">
        <x:color rgb="FFD6E0E8"/>
      </x:top>
      <x:bottom style="thin">
        <x:color rgb="FFD6E0E8"/>
      </x:bottom>
    </x:border>
    <x:border>
      <x:left style="thin">
        <x:color rgb="FFD6E0E8"/>
      </x:left>
      <x:top style="thin">
        <x:color rgb="FFD6E0E8"/>
      </x:top>
      <x:bottom style="thin">
        <x:color rgb="FFD6E0E8"/>
      </x:bottom>
    </x:border>
    <x:border>
      <x:right style="thin">
        <x:color rgb="FFD6E0E8"/>
      </x:right>
      <x:top style="thin">
        <x:color rgb="FFD6E0E8"/>
      </x:top>
    </x:border>
    <x:border>
      <x:left style="thin">
        <x:color rgb="FFD6E0E8"/>
      </x:left>
      <x:right style="thin">
        <x:color rgb="FFD6E0E8"/>
      </x:right>
      <x:top style="thin">
        <x:color rgb="FFD6E0E8"/>
      </x:top>
    </x:border>
    <x:border>
      <x:left style="thin">
        <x:color rgb="FFD6E0E8"/>
      </x:left>
      <x:top style="thin">
        <x:color rgb="FFD6E0E8"/>
      </x:top>
    </x:border>
  </x:borders>
  <x:cellStyleXfs count="1">
    <x:xf numFmtId="0" fontId="0" fillId="0" borderId="0"/>
  </x:cellStyleXfs>
  <x:cellXfs count="138">
    <x:xf numFmtId="0" fontId="0" fillId="0" borderId="0" xfId="0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200" fontId="2" fillId="2" borderId="1" xfId="0" applyNumberFormat="1" applyFont="1" applyFill="1" applyBorder="1" applyAlignment="1">
      <x:alignment vertical="center"/>
    </x:xf>
    <x:xf numFmtId="200" fontId="3" fillId="5" borderId="1" xfId="0" applyNumberFormat="1" applyFont="1" applyFill="1" applyBorder="1" applyAlignment="1">
      <x:alignment vertical="center"/>
    </x:xf>
    <x:xf numFmtId="201" fontId="2" fillId="2" borderId="1" xfId="0" applyNumberFormat="1" applyFont="1" applyFill="1" applyBorder="1" applyAlignment="1">
      <x:alignment vertical="center"/>
    </x:xf>
    <x:xf numFmtId="201" fontId="3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4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0" fontId="1" fillId="6" borderId="4" xfId="0" applyNumberFormat="1" applyFont="1" applyFill="1" applyBorder="1" applyAlignment="1">
      <x:alignment vertical="center" wrapText="1"/>
    </x:xf>
    <x:xf numFmtId="0" fontId="0" fillId="2" borderId="5" xfId="0" applyNumberFormat="1" applyFont="1" applyFill="1" applyBorder="1"/>
    <x:xf numFmtId="0" fontId="0" fillId="2" borderId="6" xfId="0" applyNumberFormat="1" applyFont="1" applyFill="1" applyBorder="1"/>
    <x:xf numFmtId="0" fontId="0" fillId="2" borderId="7" xfId="0" applyNumberFormat="1" applyFont="1" applyFill="1" applyBorder="1"/>
    <x:xf numFmtId="0" fontId="0" fillId="2" borderId="8" xfId="0" applyNumberFormat="1" applyFont="1" applyFill="1" applyBorder="1"/>
    <x:xf numFmtId="0" fontId="0" fillId="2" borderId="9" xfId="0" applyNumberFormat="1" applyFont="1" applyFill="1" applyBorder="1"/>
    <x:xf numFmtId="0" fontId="0" fillId="2" borderId="10" xfId="0" applyNumberFormat="1" applyFont="1" applyFill="1" applyBorder="1"/>
    <x:xf numFmtId="0" fontId="0" fillId="2" borderId="11" xfId="0" applyNumberFormat="1" applyFont="1" applyFill="1" applyBorder="1"/>
    <x:xf numFmtId="0" fontId="0" fillId="2" borderId="12" xfId="0" applyNumberFormat="1" applyFont="1" applyFill="1" applyBorder="1"/>
    <x:xf numFmtId="0" fontId="0" fillId="2" borderId="5" xfId="0" applyNumberFormat="1" applyFont="1" applyFill="1" applyBorder="1" applyAlignment="1">
      <x:alignment wrapText="1"/>
    </x:xf>
    <x:xf numFmtId="0" fontId="0" fillId="2" borderId="6" xfId="0" applyNumberFormat="1" applyFont="1" applyFill="1" applyBorder="1" applyAlignment="1">
      <x:alignment wrapText="1"/>
    </x:xf>
    <x:xf numFmtId="0" fontId="0" fillId="2" borderId="7" xfId="0" applyNumberFormat="1" applyFont="1" applyFill="1" applyBorder="1" applyAlignment="1">
      <x:alignment wrapText="1"/>
    </x:xf>
    <x:xf numFmtId="0" fontId="0" fillId="2" borderId="8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wrapText="1"/>
    </x:xf>
    <x:xf numFmtId="0" fontId="0" fillId="2" borderId="9" xfId="0" applyNumberFormat="1" applyFont="1" applyFill="1" applyBorder="1" applyAlignment="1">
      <x:alignment wrapText="1"/>
    </x:xf>
    <x:xf numFmtId="0" fontId="0" fillId="2" borderId="10" xfId="0" applyNumberFormat="1" applyFont="1" applyFill="1" applyBorder="1" applyAlignment="1">
      <x:alignment wrapText="1"/>
    </x:xf>
    <x:xf numFmtId="0" fontId="0" fillId="2" borderId="11" xfId="0" applyNumberFormat="1" applyFont="1" applyFill="1" applyBorder="1" applyAlignment="1">
      <x:alignment wrapText="1"/>
    </x:xf>
    <x:xf numFmtId="0" fontId="0" fillId="2" borderId="12" xfId="0" applyNumberFormat="1" applyFont="1" applyFill="1" applyBorder="1" applyAlignment="1">
      <x:alignment wrapText="1"/>
    </x:xf>
    <x:xf numFmtId="0" fontId="0" fillId="2" borderId="5" xfId="0" applyNumberFormat="1" applyFont="1" applyFill="1" applyBorder="1" applyAlignment="1">
      <x:alignment vertical="center" wrapText="1"/>
    </x:xf>
    <x:xf numFmtId="0" fontId="0" fillId="2" borderId="6" xfId="0" applyNumberFormat="1" applyFont="1" applyFill="1" applyBorder="1" applyAlignment="1">
      <x:alignment vertical="center" wrapText="1"/>
    </x:xf>
    <x:xf numFmtId="0" fontId="0" fillId="2" borderId="7" xfId="0" applyNumberFormat="1" applyFont="1" applyFill="1" applyBorder="1" applyAlignment="1">
      <x:alignment vertical="center" wrapText="1"/>
    </x:xf>
    <x:xf numFmtId="0" fontId="0" fillId="2" borderId="8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 applyAlignment="1">
      <x:alignment vertical="center" wrapText="1"/>
    </x:xf>
    <x:xf numFmtId="0" fontId="0" fillId="2" borderId="9" xfId="0" applyNumberFormat="1" applyFont="1" applyFill="1" applyBorder="1" applyAlignment="1">
      <x:alignment vertical="center" wrapText="1"/>
    </x:xf>
    <x:xf numFmtId="0" fontId="0" fillId="2" borderId="10" xfId="0" applyNumberFormat="1" applyFont="1" applyFill="1" applyBorder="1" applyAlignment="1">
      <x:alignment vertical="center" wrapText="1"/>
    </x:xf>
    <x:xf numFmtId="0" fontId="0" fillId="2" borderId="11" xfId="0" applyNumberFormat="1" applyFont="1" applyFill="1" applyBorder="1" applyAlignment="1">
      <x:alignment vertical="center" wrapText="1"/>
    </x:xf>
    <x:xf numFmtId="0" fontId="0" fillId="2" borderId="12" xfId="0" applyNumberFormat="1" applyFont="1" applyFill="1" applyBorder="1" applyAlignment="1">
      <x:alignment vertical="center" wrapText="1"/>
    </x:xf>
    <x:xf numFmtId="0" fontId="0" fillId="7" borderId="5" xfId="0" applyNumberFormat="1" applyFont="1" applyFill="1" applyBorder="1" applyAlignment="1">
      <x:alignment vertical="center" wrapText="1"/>
    </x:xf>
    <x:xf numFmtId="0" fontId="0" fillId="7" borderId="8" xfId="0" applyNumberFormat="1" applyFont="1" applyFill="1" applyBorder="1" applyAlignment="1">
      <x:alignment vertical="center" wrapText="1"/>
    </x:xf>
    <x:xf numFmtId="0" fontId="0" fillId="7" borderId="10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center" wrapText="1"/>
    </x:xf>
    <x:xf numFmtId="0" fontId="4" fillId="7" borderId="8" xfId="0" applyNumberFormat="1" applyFont="1" applyFill="1" applyBorder="1" applyAlignment="1">
      <x:alignment vertical="center" wrapText="1"/>
    </x:xf>
    <x:xf numFmtId="0" fontId="4" fillId="7" borderId="1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9" fillId="5" borderId="1" xfId="0" applyNumberFormat="1" applyFont="1" applyFill="1" applyBorder="1" applyAlignment="1">
      <x:alignment vertical="center"/>
    </x:xf>
    <x:xf numFmtId="201" fontId="7" fillId="2" borderId="1" xfId="0" applyNumberFormat="1" applyFont="1" applyFill="1" applyBorder="1" applyAlignment="1">
      <x:alignment vertical="center"/>
    </x:xf>
    <x:xf numFmtId="200" fontId="9" fillId="5" borderId="1" xfId="0" applyNumberFormat="1" applyFont="1" applyFill="1" applyBorder="1" applyAlignment="1">
      <x:alignment vertical="center"/>
    </x:xf>
    <x:xf numFmtId="200" fontId="7" fillId="2" borderId="1" xfId="0" applyNumberFormat="1" applyFont="1" applyFill="1" applyBorder="1" applyAlignment="1">
      <x:alignment vertical="center"/>
    </x:xf>
    <x:xf numFmtId="201" fontId="9" fillId="5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0" fontId="6" fillId="6" borderId="2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10" fillId="7" borderId="5" xfId="0" applyNumberFormat="1" applyFont="1" applyFill="1" applyBorder="1" applyAlignment="1">
      <x:alignment vertical="center" wrapText="1"/>
    </x:xf>
    <x:xf numFmtId="0" fontId="8" fillId="2" borderId="6" xfId="0" applyNumberFormat="1" applyFont="1" applyFill="1" applyBorder="1" applyAlignment="1">
      <x:alignment vertical="center" wrapText="1"/>
    </x:xf>
    <x:xf numFmtId="0" fontId="8" fillId="2" borderId="7" xfId="0" applyNumberFormat="1" applyFont="1" applyFill="1" applyBorder="1" applyAlignment="1">
      <x:alignment vertical="center" wrapText="1"/>
    </x:xf>
    <x:xf numFmtId="0" fontId="10" fillId="7" borderId="8" xfId="0" applyNumberFormat="1" applyFont="1" applyFill="1" applyBorder="1" applyAlignment="1">
      <x:alignment vertical="center" wrapText="1"/>
    </x:xf>
    <x:xf numFmtId="0" fontId="8" fillId="2" borderId="1" xfId="0" applyNumberFormat="1" applyFont="1" applyFill="1" applyBorder="1" applyAlignment="1">
      <x:alignment vertical="center" wrapText="1"/>
    </x:xf>
    <x:xf numFmtId="0" fontId="8" fillId="2" borderId="9" xfId="0" applyNumberFormat="1" applyFont="1" applyFill="1" applyBorder="1" applyAlignment="1">
      <x:alignment vertical="center" wrapText="1"/>
    </x:xf>
    <x:xf numFmtId="0" fontId="10" fillId="7" borderId="10" xfId="0" applyNumberFormat="1" applyFont="1" applyFill="1" applyBorder="1" applyAlignment="1">
      <x:alignment vertical="center" wrapText="1"/>
    </x:xf>
    <x:xf numFmtId="0" fontId="8" fillId="2" borderId="11" xfId="0" applyNumberFormat="1" applyFont="1" applyFill="1" applyBorder="1" applyAlignment="1">
      <x:alignment vertical="center" wrapText="1"/>
    </x:xf>
    <x:xf numFmtId="0" fontId="8" fillId="2" borderId="12" xfId="0" applyNumberFormat="1" applyFont="1" applyFill="1" applyBorder="1" applyAlignment="1">
      <x:alignment vertical="center" wrapText="1"/>
    </x:xf>
    <x:xf numFmtId="0" fontId="11" fillId="8" borderId="0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5" xfId="0" applyNumberFormat="1" applyFont="1" applyFill="1" applyBorder="1" applyAlignment="1">
      <x:alignment vertical="center"/>
    </x:xf>
    <x:xf numFmtId="0" fontId="0" fillId="2" borderId="6" xfId="0" applyNumberFormat="1" applyFont="1" applyFill="1" applyBorder="1" applyAlignment="1">
      <x:alignment vertical="center"/>
    </x:xf>
    <x:xf numFmtId="0" fontId="0" fillId="2" borderId="7" xfId="0" applyNumberFormat="1" applyFont="1" applyFill="1" applyBorder="1" applyAlignment="1">
      <x:alignment vertical="center"/>
    </x:xf>
    <x:xf numFmtId="0" fontId="0" fillId="2" borderId="8" xfId="0" applyNumberFormat="1" applyFont="1" applyFill="1" applyBorder="1" applyAlignment="1">
      <x:alignment vertical="center"/>
    </x:xf>
    <x:xf numFmtId="0" fontId="0" fillId="2" borderId="9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0" xfId="0" applyNumberFormat="1" applyFont="1" applyFill="1" applyBorder="1" applyAlignment="1">
      <x:alignment vertical="center"/>
    </x:xf>
    <x:xf numFmtId="0" fontId="0" fillId="2" borderId="11" xfId="0" applyNumberFormat="1" applyFont="1" applyFill="1" applyBorder="1" applyAlignment="1">
      <x:alignment vertical="center"/>
    </x:xf>
    <x:xf numFmtId="0" fontId="0" fillId="2" borderId="1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2" xfId="0" applyNumberFormat="1" applyFont="1" applyFill="1" applyBorder="1" applyAlignment="1">
      <x:alignment vertical="center"/>
    </x:xf>
    <x:xf numFmtId="0" fontId="0" fillId="8" borderId="6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 applyAlignment="1">
      <x:alignment vertical="center"/>
    </x:xf>
    <x:xf numFmtId="0" fontId="0" fillId="8" borderId="11" xfId="0" applyNumberFormat="1" applyFont="1" applyFill="1" applyBorder="1" applyAlignment="1">
      <x:alignment vertical="center"/>
    </x:xf>
    <x:xf numFmtId="0" fontId="5" fillId="8" borderId="6" xfId="0" applyNumberFormat="1" applyFont="1" applyFill="1" applyBorder="1" applyAlignment="1">
      <x:alignment vertical="center"/>
    </x:xf>
    <x:xf numFmtId="0" fontId="5" fillId="8" borderId="1" xfId="0" applyNumberFormat="1" applyFont="1" applyFill="1" applyBorder="1" applyAlignment="1">
      <x:alignment vertical="center"/>
    </x:xf>
    <x:xf numFmtId="0" fontId="5" fillId="8" borderId="11" xfId="0" applyNumberFormat="1" applyFont="1" applyFill="1" applyBorder="1" applyAlignment="1">
      <x:alignment vertical="center"/>
    </x:xf>
    <x:xf numFmtId="200" fontId="0" fillId="2" borderId="6" xfId="0" applyNumberFormat="1" applyFont="1" applyFill="1" applyBorder="1" applyAlignment="1">
      <x:alignment vertical="center"/>
    </x:xf>
    <x:xf numFmtId="200" fontId="0" fillId="2" borderId="1" xfId="0" applyNumberFormat="1" applyFont="1" applyFill="1" applyBorder="1" applyAlignment="1">
      <x:alignment vertical="center"/>
    </x:xf>
    <x:xf numFmtId="200" fontId="0" fillId="2" borderId="11" xfId="0" applyNumberFormat="1" applyFont="1" applyFill="1" applyBorder="1" applyAlignment="1">
      <x:alignment vertical="center"/>
    </x:xf>
    <x:xf numFmtId="201" fontId="0" fillId="2" borderId="5" xfId="0" applyNumberFormat="1" applyFont="1" applyFill="1" applyBorder="1" applyAlignment="1">
      <x:alignment vertical="center"/>
    </x:xf>
    <x:xf numFmtId="201" fontId="0" fillId="2" borderId="8" xfId="0" applyNumberFormat="1" applyFont="1" applyFill="1" applyBorder="1" applyAlignment="1">
      <x:alignment vertical="center"/>
    </x:xf>
    <x:xf numFmtId="201" fontId="0" fillId="2" borderId="10" xfId="0" applyNumberFormat="1" applyFont="1" applyFill="1" applyBorder="1" applyAlignment="1">
      <x:alignment vertical="center"/>
    </x:xf>
    <x:xf numFmtId="201" fontId="0" fillId="2" borderId="6" xfId="0" applyNumberFormat="1" applyFont="1" applyFill="1" applyBorder="1" applyAlignment="1">
      <x:alignment vertical="center"/>
    </x:xf>
    <x:xf numFmtId="201" fontId="0" fillId="2" borderId="1" xfId="0" applyNumberFormat="1" applyFont="1" applyFill="1" applyBorder="1" applyAlignment="1">
      <x:alignment vertical="center"/>
    </x:xf>
    <x:xf numFmtId="201" fontId="0" fillId="2" borderId="11" xfId="0" applyNumberFormat="1" applyFont="1" applyFill="1" applyBorder="1" applyAlignment="1">
      <x:alignment vertical="center"/>
    </x:xf>
    <x:xf numFmtId="0" fontId="5" fillId="2" borderId="6" xfId="0" applyNumberFormat="1" applyFont="1" applyFill="1" applyBorder="1" applyAlignment="1">
      <x:alignment vertical="center"/>
    </x:xf>
    <x:xf numFmtId="201" fontId="0" fillId="4" borderId="8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201" fontId="0" fillId="4" borderId="1" xfId="0" applyNumberFormat="1" applyFont="1" applyFill="1" applyBorder="1" applyAlignment="1">
      <x:alignment vertical="center"/>
    </x:xf>
    <x:xf numFmtId="200" fontId="0" fillId="4" borderId="1" xfId="0" applyNumberFormat="1" applyFont="1" applyFill="1" applyBorder="1" applyAlignment="1">
      <x:alignment vertical="center"/>
    </x:xf>
    <x:xf numFmtId="0" fontId="0" fillId="4" borderId="9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11" xfId="0" applyNumberFormat="1" applyFont="1" applyFill="1" applyBorder="1" applyAlignment="1">
      <x:alignment vertical="center"/>
    </x:xf>
    <x:xf numFmtId="0" fontId="0" fillId="4" borderId="8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0" fontId="0" fillId="4" borderId="10" xfId="0" applyNumberFormat="1" applyFont="1" applyFill="1" applyBorder="1" applyAlignment="1">
      <x:alignment vertical="center" wrapText="1"/>
    </x:xf>
    <x:xf numFmtId="0" fontId="0" fillId="4" borderId="11" xfId="0" applyNumberFormat="1" applyFont="1" applyFill="1" applyBorder="1" applyAlignment="1">
      <x:alignment vertical="center" wrapText="1"/>
    </x:xf>
    <x:xf numFmtId="0" fontId="0" fillId="4" borderId="12" xfId="0" applyNumberFormat="1" applyFont="1" applyFill="1" applyBorder="1" applyAlignment="1">
      <x:alignment vertical="center" wrapText="1"/>
    </x:xf>
    <x:xf numFmtId="200" fontId="0" fillId="2" borderId="6" xfId="0" applyNumberFormat="1" applyFont="1" applyFill="1" applyBorder="1" applyAlignment="1">
      <x:alignment vertical="center" wrapText="1"/>
    </x:xf>
    <x:xf numFmtId="200" fontId="0" fillId="2" borderId="1" xfId="0" applyNumberFormat="1" applyFont="1" applyFill="1" applyBorder="1" applyAlignment="1">
      <x:alignment vertical="center" wrapText="1"/>
    </x:xf>
    <x:xf numFmtId="200" fontId="0" fillId="2" borderId="1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200" fontId="0" fillId="4" borderId="1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991B1B"/>
      </x:font>
      <x:fill>
        <x:patternFill patternType="solid">
          <x:bgColor rgb="FFFDECEC"/>
        </x:patternFill>
      </x:fill>
    </x:dxf>
    <x:dxf>
      <x:font>
        <x:color rgb="FF166534"/>
      </x:font>
      <x:fill>
        <x:patternFill patternType="solid">
          <x:bgColor rgb="FFE9F7EF"/>
        </x:patternFill>
      </x:fill>
    </x:dxf>
    <x:dxf>
      <x:font>
        <x:b/>
        <x:color rgb="FF92400E"/>
      </x:font>
      <x:fill>
        <x:patternFill patternType="solid">
          <x:bgColor rgb="FFFFF5DB"/>
        </x:patternFill>
      </x:fill>
    </x:dxf>
    <x:dxf>
      <x:font>
        <x:b/>
        <x:color rgb="FF166534"/>
      </x:font>
      <x:fill>
        <x:patternFill patternType="solid">
          <x:bgColor rgb="FFE9F7EF"/>
        </x:patternFill>
      </x:fill>
    </x:dxf>
    <x:dxf>
      <x:font>
        <x:b/>
        <x:color rgb="FF92400E"/>
      </x:font>
      <x:fill>
        <x:patternFill patternType="solid">
          <x:bgColor rgb="FFFFF5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3765a6c76b48b8" /><Relationship Type="http://schemas.openxmlformats.org/officeDocument/2006/relationships/theme" Target="/xl/theme/theme1.xml" Id="Rd2e12bdbcfaa4f58" /><Relationship Type="http://schemas.microsoft.com/office/2022/11/relationships/FeaturePropertyBag" Target="/xl/featurePropertyBag/featurePropertyBag.xml" Id="Rc892b54f90544123" /><Relationship Type="http://schemas.openxmlformats.org/officeDocument/2006/relationships/sharedStrings" Target="/xl/sharedStrings.xml" Id="Rfd480cafa7784db0" /><Relationship Type="http://schemas.openxmlformats.org/officeDocument/2006/relationships/worksheet" Target="/xl/worksheets/sheet1.xml" Id="R508e286cc3554bd0" /><Relationship Type="http://schemas.openxmlformats.org/officeDocument/2006/relationships/worksheet" Target="/xl/worksheets/sheet2.xml" Id="R5ddd247f71c54fe6" /><Relationship Type="http://schemas.openxmlformats.org/officeDocument/2006/relationships/worksheet" Target="/xl/worksheets/sheet3.xml" Id="R1e3b7e4588cf4b37" /><Relationship Type="http://schemas.openxmlformats.org/officeDocument/2006/relationships/worksheet" Target="/xl/worksheets/sheet4.xml" Id="R3f223d543f8e4a5a" /><Relationship Type="http://schemas.openxmlformats.org/officeDocument/2006/relationships/worksheet" Target="/xl/worksheets/sheet5.xml" Id="R19c35b5189ac4b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igrationRowsTable" displayName="MigrationRowsTable" ref="A3:AC36" headerRowCount="1" totalsRowCount="0" totalsRowShown="0">
  <x:autoFilter ref="A3:AC36"/>
  <x:tableColumns count="29">
    <x:tableColumn id="1" name="rowNo"/>
    <x:tableColumn id="2" name="resourceType"/>
    <x:tableColumn id="3" name="sourceId"/>
    <x:tableColumn id="4" name="projectSourceId"/>
    <x:tableColumn id="5" name="buildingSourceId"/>
    <x:tableColumn id="6" name="customerSourceId"/>
    <x:tableColumn id="7" name="assetSourceId"/>
    <x:tableColumn id="8" name="code"/>
    <x:tableColumn id="9" name="name"/>
    <x:tableColumn id="10" name="displayName"/>
    <x:tableColumn id="11" name="buildingType"/>
    <x:tableColumn id="12" name="assetType"/>
    <x:tableColumn id="13" name="floorCount"/>
    <x:tableColumn id="14" name="floorNo"/>
    <x:tableColumn id="15" name="buildingArea"/>
    <x:tableColumn id="16" name="usableArea"/>
    <x:tableColumn id="17" name="customerNo"/>
    <x:tableColumn id="18" name="customerType"/>
    <x:tableColumn id="19" name="customerClass"/>
    <x:tableColumn id="20" name="gender"/>
    <x:tableColumn id="21" name="relationType"/>
    <x:tableColumn id="22" name="primaryRelation"/>
    <x:tableColumn id="23" name="validFrom"/>
    <x:tableColumn id="24" name="startDate"/>
    <x:tableColumn id="25" name="mobileMasked"/>
    <x:tableColumn id="26" name="remarks"/>
    <x:tableColumn id="27" name="expectedResult"/>
    <x:tableColumn id="28" name="expectedReason"/>
    <x:tableColumn id="29" name="data(JSON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igrationFieldDictionary" displayName="MigrationFieldDictionary" ref="A3:I31" headerRowCount="1" totalsRowCount="0" totalsRowShown="0">
  <x:tableColumns count="9">
    <x:tableColumn id="1" name="资源类型"/>
    <x:tableColumn id="2" name="字段"/>
    <x:tableColumn id="3" name="JSON 路径"/>
    <x:tableColumn id="4" name="必填"/>
    <x:tableColumn id="5" name="数据类型"/>
    <x:tableColumn id="6" name="允许值/默认值"/>
    <x:tableColumn id="7" name="校验规则"/>
    <x:tableColumn id="8" name="样例"/>
    <x:tableColumn id="9" name="说明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MigrationAcceptanceTable" displayName="MigrationAcceptanceTable" ref="A3:E15" headerRowCount="1" totalsRowCount="0" totalsRowShown="0">
  <x:tableColumns count="5">
    <x:tableColumn id="1" name="阶段/指标"/>
    <x:tableColumn id="2" name="预期值"/>
    <x:tableColumn id="3" name="通过标准"/>
    <x:tableColumn id="4" name="对应动作"/>
    <x:tableColumn id="5" name="失败时先检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b4149888a148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221aaa3e534b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a7dd4e3af54f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5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87" t="str">
        <x:v>PMS3 数据迁移交付验收样例</x:v>
      </x:c>
      <x:c r="B1" s="87" t="str">
        <x:v>PMS3 数据迁移交付验收样例</x:v>
      </x:c>
      <x:c r="C1" s="87" t="str">
        <x:v>PMS3 数据迁移交付验收样例</x:v>
      </x:c>
      <x:c r="D1" s="87" t="str">
        <x:v>PMS3 数据迁移交付验收样例</x:v>
      </x:c>
      <x:c r="E1" s="87" t="str">
        <x:v>PMS3 数据迁移交付验收样例</x:v>
      </x:c>
      <x:c r="F1" s="87" t="str">
        <x:v>PMS3 数据迁移交付验收样例</x:v>
      </x:c>
      <x:c r="G1" s="87" t="str">
        <x:v>PMS3 数据迁移交付验收样例</x:v>
      </x:c>
      <x:c r="H1" s="87" t="str">
        <x:v>PMS3 数据迁移交付验收样例</x:v>
      </x:c>
    </x:row>
    <x:row r="2" ht="34" customHeight="1">
      <x:c r="A2" s="66" t="str">
        <x:v>实际上传文件为 JSON；本工作簿用于人工复核、字段映射和验收记录。所有姓名与编号均为合成数据。</x:v>
      </x:c>
      <x:c r="B2" s="66" t="str">
        <x:v>实际上传文件为 JSON；本工作簿用于人工复核、字段映射和验收记录。所有姓名与编号均为合成数据。</x:v>
      </x:c>
      <x:c r="C2" s="66" t="str">
        <x:v>实际上传文件为 JSON；本工作簿用于人工复核、字段映射和验收记录。所有姓名与编号均为合成数据。</x:v>
      </x:c>
      <x:c r="D2" s="66" t="str">
        <x:v>实际上传文件为 JSON；本工作簿用于人工复核、字段映射和验收记录。所有姓名与编号均为合成数据。</x:v>
      </x:c>
      <x:c r="E2" s="66" t="str">
        <x:v>实际上传文件为 JSON；本工作簿用于人工复核、字段映射和验收记录。所有姓名与编号均为合成数据。</x:v>
      </x:c>
      <x:c r="F2" s="66" t="str">
        <x:v>实际上传文件为 JSON；本工作簿用于人工复核、字段映射和验收记录。所有姓名与编号均为合成数据。</x:v>
      </x:c>
      <x:c r="G2" s="66" t="str">
        <x:v>实际上传文件为 JSON；本工作簿用于人工复核、字段映射和验收记录。所有姓名与编号均为合成数据。</x:v>
      </x:c>
      <x:c r="H2" s="66" t="str">
        <x:v>实际上传文件为 JSON；本工作簿用于人工复核、字段映射和验收记录。所有姓名与编号均为合成数据。</x:v>
      </x:c>
    </x:row>
    <x:row r="3">
      <x:c r="A3" s="67"/>
      <x:c r="B3" s="67"/>
      <x:c r="C3" s="67"/>
      <x:c r="D3" s="67"/>
      <x:c r="E3" s="67"/>
      <x:c r="F3" s="67"/>
      <x:c r="G3" s="67"/>
      <x:c r="H3" s="67"/>
    </x:row>
    <x:row r="4">
      <x:c r="A4" s="68" t="str">
        <x:v>总行数</x:v>
      </x:c>
      <x:c r="B4" s="69" t="n">
        <x:f>COUNTA('导入明细'!$A$4:$A$36)</x:f>
        <x:v>33</x:v>
      </x:c>
      <x:c r="C4" s="70" t="str">
        <x:v>预期合格</x:v>
      </x:c>
      <x:c r="D4" s="69" t="n">
        <x:f>COUNTIF('导入明细'!$AA$4:$AA$36,"合格")</x:f>
        <x:v>32</x:v>
      </x:c>
      <x:c r="E4" s="70" t="str">
        <x:v>预期隔离</x:v>
      </x:c>
      <x:c r="F4" s="69" t="n">
        <x:f>COUNTIF('导入明细'!$AA$4:$AA$36,"隔离")</x:f>
        <x:v>1</x:v>
      </x:c>
      <x:c r="G4" s="70" t="str">
        <x:v>预期生产写入</x:v>
      </x:c>
      <x:c r="H4" s="69" t="n">
        <x:f>D4-F5</x:f>
        <x:v>31</x:v>
      </x:c>
    </x:row>
    <x:row r="5">
      <x:c r="A5" s="68" t="str">
        <x:v>建筑面积合计</x:v>
      </x:c>
      <x:c r="B5" s="71" t="n">
        <x:f>SUM('导入明细'!$O$4:$O$36)</x:f>
        <x:v>855</x:v>
      </x:c>
      <x:c r="C5" s="70" t="str">
        <x:v>可用面积合计</x:v>
      </x:c>
      <x:c r="D5" s="71" t="n">
        <x:f>SUM('导入明细'!$P$4:$P$36)</x:f>
        <x:v>655</x:v>
      </x:c>
      <x:c r="E5" s="70" t="str">
        <x:v>项目映射跳过</x:v>
      </x:c>
      <x:c r="F5" s="69" t="n">
        <x:v>1</x:v>
      </x:c>
      <x:c r="G5" s="72" t="str">
        <x:v>反向变更日志</x:v>
      </x:c>
      <x:c r="H5" s="69" t="n">
        <x:v>41</x:v>
      </x:c>
    </x:row>
    <x:row r="6">
      <x:c r="A6" s="67"/>
      <x:c r="B6" s="67"/>
      <x:c r="C6" s="67"/>
      <x:c r="D6" s="67"/>
      <x:c r="E6" s="67"/>
      <x:c r="F6" s="67"/>
      <x:c r="G6" s="67"/>
      <x:c r="H6" s="67"/>
    </x:row>
    <x:row r="7" ht="24" customHeight="1">
      <x:c r="A7" s="73" t="str">
        <x:v>人工导入步骤</x:v>
      </x:c>
      <x:c r="B7" s="73" t="str">
        <x:v>人工导入步骤</x:v>
      </x:c>
      <x:c r="C7" s="73" t="str">
        <x:v>人工导入步骤</x:v>
      </x:c>
      <x:c r="D7" s="73" t="str">
        <x:v>人工导入步骤</x:v>
      </x:c>
      <x:c r="E7" s="73" t="str">
        <x:v>人工导入步骤</x:v>
      </x:c>
      <x:c r="F7" s="73" t="str">
        <x:v>人工导入步骤</x:v>
      </x:c>
      <x:c r="G7" s="73" t="str">
        <x:v>人工导入步骤</x:v>
      </x:c>
      <x:c r="H7" s="73" t="str">
        <x:v>人工导入步骤</x:v>
      </x:c>
    </x:row>
    <x:row r="8" ht="30" customHeight="1">
      <x:c r="A8" s="74" t="str">
        <x:v>步骤</x:v>
      </x:c>
      <x:c r="B8" s="75" t="str">
        <x:v>动作</x:v>
      </x:c>
      <x:c r="C8" s="75" t="str">
        <x:v>检查标准</x:v>
      </x:c>
      <x:c r="D8" s="75" t="str">
        <x:v>检查标准</x:v>
      </x:c>
      <x:c r="E8" s="75" t="str">
        <x:v>检查标准</x:v>
      </x:c>
      <x:c r="F8" s="75" t="str">
        <x:v>检查标准</x:v>
      </x:c>
      <x:c r="G8" s="75" t="str">
        <x:v>检查标准</x:v>
      </x:c>
      <x:c r="H8" s="76" t="str">
        <x:v>检查标准</x:v>
      </x:c>
    </x:row>
    <x:row r="9" ht="38" customHeight="1">
      <x:c r="A9" s="77" t="str">
        <x:v>1</x:v>
      </x:c>
      <x:c r="B9" s="78" t="str">
        <x:v>登录系统</x:v>
      </x:c>
      <x:c r="C9" s="78" t="str">
        <x:v>浏览器打开 http://localhost:5174，使用交付方在本机 .env 中设置的管理员账号。</x:v>
      </x:c>
      <x:c r="D9" s="78" t="str">
        <x:v>浏览器打开 http://localhost:5174，使用交付方在本机 .env 中设置的管理员账号。</x:v>
      </x:c>
      <x:c r="E9" s="78" t="str">
        <x:v>浏览器打开 http://localhost:5174，使用交付方在本机 .env 中设置的管理员账号。</x:v>
      </x:c>
      <x:c r="F9" s="78" t="str">
        <x:v>浏览器打开 http://localhost:5174，使用交付方在本机 .env 中设置的管理员账号。</x:v>
      </x:c>
      <x:c r="G9" s="78" t="str">
        <x:v>浏览器打开 http://localhost:5174，使用交付方在本机 .env 中设置的管理员账号。</x:v>
      </x:c>
      <x:c r="H9" s="79" t="str">
        <x:v>浏览器打开 http://localhost:5174，使用交付方在本机 .env 中设置的管理员账号。</x:v>
      </x:c>
    </x:row>
    <x:row r="10" ht="38" customHeight="1">
      <x:c r="A10" s="80" t="str">
        <x:v>2</x:v>
      </x:c>
      <x:c r="B10" s="81" t="str">
        <x:v>选择项目</x:v>
      </x:c>
      <x:c r="C10" s="81" t="str">
        <x:v>确认顶部项目选择器处于准备接收测试数据的项目。</x:v>
      </x:c>
      <x:c r="D10" s="81" t="str">
        <x:v>确认顶部项目选择器处于准备接收测试数据的项目。</x:v>
      </x:c>
      <x:c r="E10" s="81" t="str">
        <x:v>确认顶部项目选择器处于准备接收测试数据的项目。</x:v>
      </x:c>
      <x:c r="F10" s="81" t="str">
        <x:v>确认顶部项目选择器处于准备接收测试数据的项目。</x:v>
      </x:c>
      <x:c r="G10" s="81" t="str">
        <x:v>确认顶部项目选择器处于准备接收测试数据的项目。</x:v>
      </x:c>
      <x:c r="H10" s="82" t="str">
        <x:v>确认顶部项目选择器处于准备接收测试数据的项目。</x:v>
      </x:c>
    </x:row>
    <x:row r="11" ht="38" customHeight="1">
      <x:c r="A11" s="80" t="str">
        <x:v>3</x:v>
      </x:c>
      <x:c r="B11" s="81" t="str">
        <x:v>进入页面</x:v>
      </x:c>
      <x:c r="C11" s="81" t="str">
        <x:v>左侧菜单进入“系统管理 → 数据迁移”（路由 /system/migrations）。</x:v>
      </x:c>
      <x:c r="D11" s="81" t="str">
        <x:v>左侧菜单进入“系统管理 → 数据迁移”（路由 /system/migrations）。</x:v>
      </x:c>
      <x:c r="E11" s="81" t="str">
        <x:v>左侧菜单进入“系统管理 → 数据迁移”（路由 /system/migrations）。</x:v>
      </x:c>
      <x:c r="F11" s="81" t="str">
        <x:v>左侧菜单进入“系统管理 → 数据迁移”（路由 /system/migrations）。</x:v>
      </x:c>
      <x:c r="G11" s="81" t="str">
        <x:v>左侧菜单进入“系统管理 → 数据迁移”（路由 /system/migrations）。</x:v>
      </x:c>
      <x:c r="H11" s="82" t="str">
        <x:v>左侧菜单进入“系统管理 → 数据迁移”（路由 /system/migrations）。</x:v>
      </x:c>
    </x:row>
    <x:row r="12" ht="38" customHeight="1">
      <x:c r="A12" s="80" t="str">
        <x:v>4</x:v>
      </x:c>
      <x:c r="B12" s="81" t="str">
        <x:v>上传 JSON</x:v>
      </x:c>
      <x:c r="C12" s="81" t="str">
        <x:v>点击“上传 JSON”，选择 delivery/sample-data/PMS3-migration-sample-32-valid-1-invalid.json。</x:v>
      </x:c>
      <x:c r="D12" s="81" t="str">
        <x:v>点击“上传 JSON”，选择 delivery/sample-data/PMS3-migration-sample-32-valid-1-invalid.json。</x:v>
      </x:c>
      <x:c r="E12" s="81" t="str">
        <x:v>点击“上传 JSON”，选择 delivery/sample-data/PMS3-migration-sample-32-valid-1-invalid.json。</x:v>
      </x:c>
      <x:c r="F12" s="81" t="str">
        <x:v>点击“上传 JSON”，选择 delivery/sample-data/PMS3-migration-sample-32-valid-1-invalid.json。</x:v>
      </x:c>
      <x:c r="G12" s="81" t="str">
        <x:v>点击“上传 JSON”，选择 delivery/sample-data/PMS3-migration-sample-32-valid-1-invalid.json。</x:v>
      </x:c>
      <x:c r="H12" s="82" t="str">
        <x:v>点击“上传 JSON”，选择 delivery/sample-data/PMS3-migration-sample-32-valid-1-invalid.json。</x:v>
      </x:c>
    </x:row>
    <x:row r="13" ht="38" customHeight="1">
      <x:c r="A13" s="80" t="str">
        <x:v>5</x:v>
      </x:c>
      <x:c r="B13" s="81" t="str">
        <x:v>写入 Raw</x:v>
      </x:c>
      <x:c r="C13" s="81" t="str">
        <x:v>确认预览为 PROJECT 1、BUILDING 1、ASSET 10、CUSTOMER 10、RELATION 11，共 33 条。</x:v>
      </x:c>
      <x:c r="D13" s="81" t="str">
        <x:v>确认预览为 PROJECT 1、BUILDING 1、ASSET 10、CUSTOMER 10、RELATION 11，共 33 条。</x:v>
      </x:c>
      <x:c r="E13" s="81" t="str">
        <x:v>确认预览为 PROJECT 1、BUILDING 1、ASSET 10、CUSTOMER 10、RELATION 11，共 33 条。</x:v>
      </x:c>
      <x:c r="F13" s="81" t="str">
        <x:v>确认预览为 PROJECT 1、BUILDING 1、ASSET 10、CUSTOMER 10、RELATION 11，共 33 条。</x:v>
      </x:c>
      <x:c r="G13" s="81" t="str">
        <x:v>确认预览为 PROJECT 1、BUILDING 1、ASSET 10、CUSTOMER 10、RELATION 11，共 33 条。</x:v>
      </x:c>
      <x:c r="H13" s="82" t="str">
        <x:v>确认预览为 PROJECT 1、BUILDING 1、ASSET 10、CUSTOMER 10、RELATION 11，共 33 条。</x:v>
      </x:c>
    </x:row>
    <x:row r="14" ht="38" customHeight="1">
      <x:c r="A14" s="80" t="str">
        <x:v>6</x:v>
      </x:c>
      <x:c r="B14" s="81" t="str">
        <x:v>执行校验</x:v>
      </x:c>
      <x:c r="C14" s="81" t="str">
        <x:v>预期状态为 PARTIAL_FAILED：32 条合格、1 条隔离；隔离原因为 CUSTOMER 引用不存在。</x:v>
      </x:c>
      <x:c r="D14" s="81" t="str">
        <x:v>预期状态为 PARTIAL_FAILED：32 条合格、1 条隔离；隔离原因为 CUSTOMER 引用不存在。</x:v>
      </x:c>
      <x:c r="E14" s="81" t="str">
        <x:v>预期状态为 PARTIAL_FAILED：32 条合格、1 条隔离；隔离原因为 CUSTOMER 引用不存在。</x:v>
      </x:c>
      <x:c r="F14" s="81" t="str">
        <x:v>预期状态为 PARTIAL_FAILED：32 条合格、1 条隔离；隔离原因为 CUSTOMER 引用不存在。</x:v>
      </x:c>
      <x:c r="G14" s="81" t="str">
        <x:v>预期状态为 PARTIAL_FAILED：32 条合格、1 条隔离；隔离原因为 CUSTOMER 引用不存在。</x:v>
      </x:c>
      <x:c r="H14" s="82" t="str">
        <x:v>预期状态为 PARTIAL_FAILED：32 条合格、1 条隔离；隔离原因为 CUSTOMER 引用不存在。</x:v>
      </x:c>
    </x:row>
    <x:row r="15" ht="38" customHeight="1">
      <x:c r="A15" s="80" t="str">
        <x:v>7</x:v>
      </x:c>
      <x:c r="B15" s="81" t="str">
        <x:v>审批与执行</x:v>
      </x:c>
      <x:c r="C15" s="81" t="str">
        <x:v>确认部分执行，审批后写入生产层；预期写入 31 条、项目映射跳过 1 条。</x:v>
      </x:c>
      <x:c r="D15" s="81" t="str">
        <x:v>确认部分执行，审批后写入生产层；预期写入 31 条、项目映射跳过 1 条。</x:v>
      </x:c>
      <x:c r="E15" s="81" t="str">
        <x:v>确认部分执行，审批后写入生产层；预期写入 31 条、项目映射跳过 1 条。</x:v>
      </x:c>
      <x:c r="F15" s="81" t="str">
        <x:v>确认部分执行，审批后写入生产层；预期写入 31 条、项目映射跳过 1 条。</x:v>
      </x:c>
      <x:c r="G15" s="81" t="str">
        <x:v>确认部分执行，审批后写入生产层；预期写入 31 条、项目映射跳过 1 条。</x:v>
      </x:c>
      <x:c r="H15" s="82" t="str">
        <x:v>确认部分执行，审批后写入生产层；预期写入 31 条、项目映射跳过 1 条。</x:v>
      </x:c>
    </x:row>
    <x:row r="16" ht="38" customHeight="1">
      <x:c r="A16" s="83" t="str">
        <x:v>8</x:v>
      </x:c>
      <x:c r="B16" s="84" t="str">
        <x:v>对账与回滚</x:v>
      </x:c>
      <x:c r="C16" s="84" t="str">
        <x:v>9 项对账均 MATCHED；复制回滚凭证并执行逆序回滚，剩余目标数应为 0。</x:v>
      </x:c>
      <x:c r="D16" s="84" t="str">
        <x:v>9 项对账均 MATCHED；复制回滚凭证并执行逆序回滚，剩余目标数应为 0。</x:v>
      </x:c>
      <x:c r="E16" s="84" t="str">
        <x:v>9 项对账均 MATCHED；复制回滚凭证并执行逆序回滚，剩余目标数应为 0。</x:v>
      </x:c>
      <x:c r="F16" s="84" t="str">
        <x:v>9 项对账均 MATCHED；复制回滚凭证并执行逆序回滚，剩余目标数应为 0。</x:v>
      </x:c>
      <x:c r="G16" s="84" t="str">
        <x:v>9 项对账均 MATCHED；复制回滚凭证并执行逆序回滚，剩余目标数应为 0。</x:v>
      </x:c>
      <x:c r="H16" s="85" t="str">
        <x:v>9 项对账均 MATCHED；复制回滚凭证并执行逆序回滚，剩余目标数应为 0。</x:v>
      </x:c>
    </x:row>
    <x:row r="17">
      <x:c r="A17" s="67"/>
      <x:c r="B17" s="67"/>
      <x:c r="C17" s="67"/>
      <x:c r="D17" s="67"/>
      <x:c r="E17" s="67"/>
      <x:c r="F17" s="67"/>
      <x:c r="G17" s="67"/>
      <x:c r="H17" s="67"/>
    </x:row>
    <x:row r="18" ht="24" customHeight="1">
      <x:c r="A18" s="73" t="str">
        <x:v>安全与重测注意事项</x:v>
      </x:c>
      <x:c r="B18" s="73" t="str">
        <x:v>安全与重测注意事项</x:v>
      </x:c>
      <x:c r="C18" s="73" t="str">
        <x:v>安全与重测注意事项</x:v>
      </x:c>
      <x:c r="D18" s="73" t="str">
        <x:v>安全与重测注意事项</x:v>
      </x:c>
      <x:c r="E18" s="73" t="str">
        <x:v>安全与重测注意事项</x:v>
      </x:c>
      <x:c r="F18" s="73" t="str">
        <x:v>安全与重测注意事项</x:v>
      </x:c>
      <x:c r="G18" s="73" t="str">
        <x:v>安全与重测注意事项</x:v>
      </x:c>
      <x:c r="H18" s="73" t="str">
        <x:v>安全与重测注意事项</x:v>
      </x:c>
    </x:row>
    <x:row r="19" ht="28" customHeight="1">
      <x:c r="A19" s="86" t="str">
        <x:v>• 分发包不包含 .env、密码、JWT 密钥、Git 历史、依赖缓存或本机测试产物。</x:v>
      </x:c>
      <x:c r="B19" s="86" t="str">
        <x:v>• 分发包不包含 .env、密码、JWT 密钥、Git 历史、依赖缓存或本机测试产物。</x:v>
      </x:c>
      <x:c r="C19" s="86" t="str">
        <x:v>• 分发包不包含 .env、密码、JWT 密钥、Git 历史、依赖缓存或本机测试产物。</x:v>
      </x:c>
      <x:c r="D19" s="86" t="str">
        <x:v>• 分发包不包含 .env、密码、JWT 密钥、Git 历史、依赖缓存或本机测试产物。</x:v>
      </x:c>
      <x:c r="E19" s="86" t="str">
        <x:v>• 分发包不包含 .env、密码、JWT 密钥、Git 历史、依赖缓存或本机测试产物。</x:v>
      </x:c>
      <x:c r="F19" s="86" t="str">
        <x:v>• 分发包不包含 .env、密码、JWT 密钥、Git 历史、依赖缓存或本机测试产物。</x:v>
      </x:c>
      <x:c r="G19" s="86" t="str">
        <x:v>• 分发包不包含 .env、密码、JWT 密钥、Git 历史、依赖缓存或本机测试产物。</x:v>
      </x:c>
      <x:c r="H19" s="86" t="str">
        <x:v>• 分发包不包含 .env、密码、JWT 密钥、Git 历史、依赖缓存或本机测试产物。</x:v>
      </x:c>
    </x:row>
    <x:row r="20" ht="28" customHeight="1">
      <x:c r="A20" s="86" t="str">
        <x:v>• 相同 rows + mappingVersion 会安全重放原批次；完整回滚后重测时，请修改顶层 mappingVersion。</x:v>
      </x:c>
      <x:c r="B20" s="86" t="str">
        <x:v>• 相同 rows + mappingVersion 会安全重放原批次；完整回滚后重测时，请修改顶层 mappingVersion。</x:v>
      </x:c>
      <x:c r="C20" s="86" t="str">
        <x:v>• 相同 rows + mappingVersion 会安全重放原批次；完整回滚后重测时，请修改顶层 mappingVersion。</x:v>
      </x:c>
      <x:c r="D20" s="86" t="str">
        <x:v>• 相同 rows + mappingVersion 会安全重放原批次；完整回滚后重测时，请修改顶层 mappingVersion。</x:v>
      </x:c>
      <x:c r="E20" s="86" t="str">
        <x:v>• 相同 rows + mappingVersion 会安全重放原批次；完整回滚后重测时，请修改顶层 mappingVersion。</x:v>
      </x:c>
      <x:c r="F20" s="86" t="str">
        <x:v>• 相同 rows + mappingVersion 会安全重放原批次；完整回滚后重测时，请修改顶层 mappingVersion。</x:v>
      </x:c>
      <x:c r="G20" s="86" t="str">
        <x:v>• 相同 rows + mappingVersion 会安全重放原批次；完整回滚后重测时，请修改顶层 mappingVersion。</x:v>
      </x:c>
      <x:c r="H20" s="86" t="str">
        <x:v>• 相同 rows + mappingVersion 会安全重放原批次；完整回滚后重测时，请修改顶层 mappingVersion。</x:v>
      </x:c>
    </x:row>
    <x:row r="21" ht="28" customHeight="1">
      <x:c r="A21" s="86" t="str">
        <x:v>• 如果上一次没有回滚，还必须同步替换所有 20260903-D01 标识，避免楼栋、房屋和客户编码冲突。</x:v>
      </x:c>
      <x:c r="B21" s="86" t="str">
        <x:v>• 如果上一次没有回滚，还必须同步替换所有 20260903-D01 标识，避免楼栋、房屋和客户编码冲突。</x:v>
      </x:c>
      <x:c r="C21" s="86" t="str">
        <x:v>• 如果上一次没有回滚，还必须同步替换所有 20260903-D01 标识，避免楼栋、房屋和客户编码冲突。</x:v>
      </x:c>
      <x:c r="D21" s="86" t="str">
        <x:v>• 如果上一次没有回滚，还必须同步替换所有 20260903-D01 标识，避免楼栋、房屋和客户编码冲突。</x:v>
      </x:c>
      <x:c r="E21" s="86" t="str">
        <x:v>• 如果上一次没有回滚，还必须同步替换所有 20260903-D01 标识，避免楼栋、房屋和客户编码冲突。</x:v>
      </x:c>
      <x:c r="F21" s="86" t="str">
        <x:v>• 如果上一次没有回滚，还必须同步替换所有 20260903-D01 标识，避免楼栋、房屋和客户编码冲突。</x:v>
      </x:c>
      <x:c r="G21" s="86" t="str">
        <x:v>• 如果上一次没有回滚，还必须同步替换所有 20260903-D01 标识，避免楼栋、房屋和客户编码冲突。</x:v>
      </x:c>
      <x:c r="H21" s="86" t="str">
        <x:v>• 如果上一次没有回滚，还必须同步替换所有 20260903-D01 标识，避免楼栋、房屋和客户编码冲突。</x:v>
      </x:c>
    </x:row>
    <x:row r="22" ht="28" customHeight="1">
      <x:c r="A22" s="86" t="str">
        <x:v>• 本样例只用于本地/验收环境。审批、生产写入和回滚需要 PLATFORM_ADMIN 与 migration:write。</x:v>
      </x:c>
      <x:c r="B22" s="86" t="str">
        <x:v>• 本样例只用于本地/验收环境。审批、生产写入和回滚需要 PLATFORM_ADMIN 与 migration:write。</x:v>
      </x:c>
      <x:c r="C22" s="86" t="str">
        <x:v>• 本样例只用于本地/验收环境。审批、生产写入和回滚需要 PLATFORM_ADMIN 与 migration:write。</x:v>
      </x:c>
      <x:c r="D22" s="86" t="str">
        <x:v>• 本样例只用于本地/验收环境。审批、生产写入和回滚需要 PLATFORM_ADMIN 与 migration:write。</x:v>
      </x:c>
      <x:c r="E22" s="86" t="str">
        <x:v>• 本样例只用于本地/验收环境。审批、生产写入和回滚需要 PLATFORM_ADMIN 与 migration:write。</x:v>
      </x:c>
      <x:c r="F22" s="86" t="str">
        <x:v>• 本样例只用于本地/验收环境。审批、生产写入和回滚需要 PLATFORM_ADMIN 与 migration:write。</x:v>
      </x:c>
      <x:c r="G22" s="86" t="str">
        <x:v>• 本样例只用于本地/验收环境。审批、生产写入和回滚需要 PLATFORM_ADMIN 与 migration:write。</x:v>
      </x:c>
      <x:c r="H22" s="86" t="str">
        <x:v>• 本样例只用于本地/验收环境。审批、生产写入和回滚需要 PLATFORM_ADMIN 与 migration:write。</x:v>
      </x:c>
    </x:row>
  </x:sheetData>
  <x:mergeCells>
    <x:mergeCell ref="A1:H1"/>
    <x:mergeCell ref="A2:H2"/>
    <x:mergeCell ref="A7:H7"/>
    <x:mergeCell ref="C8:H8"/>
    <x:mergeCell ref="C9:H9"/>
    <x:mergeCell ref="C10:H10"/>
    <x:mergeCell ref="C11:H11"/>
    <x:mergeCell ref="C12:H12"/>
    <x:mergeCell ref="C13:H13"/>
    <x:mergeCell ref="C14:H14"/>
    <x:mergeCell ref="C15:H15"/>
    <x:mergeCell ref="C16:H16"/>
    <x:mergeCell ref="A18:H18"/>
    <x:mergeCell ref="A19:H19"/>
    <x:mergeCell ref="A20:H20"/>
    <x:mergeCell ref="A21:H21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5" hidden="0" customWidth="1"/>
    <x:col min="9" max="9" width="20" hidden="0" customWidth="1"/>
    <x:col min="10" max="10" width="20" hidden="0" customWidth="1"/>
    <x:col min="11" max="11" width="15" hidden="0" customWidth="1"/>
    <x:col min="12" max="12" width="15" hidden="0" customWidth="1"/>
    <x:col min="13" max="13" width="11" hidden="0" customWidth="1"/>
    <x:col min="14" max="14" width="11" hidden="0" customWidth="1"/>
    <x:col min="15" max="15" width="14" hidden="0" customWidth="1"/>
    <x:col min="16" max="16" width="14" hidden="0" customWidth="1"/>
    <x:col min="17" max="17" width="25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4" hidden="0" customWidth="1"/>
    <x:col min="24" max="24" width="14" hidden="0" customWidth="1"/>
    <x:col min="25" max="25" width="18" hidden="0" customWidth="1"/>
    <x:col min="26" max="26" width="28" hidden="0" customWidth="1"/>
    <x:col min="27" max="27" width="12" hidden="0" customWidth="1"/>
    <x:col min="28" max="28" width="43" hidden="0" customWidth="1"/>
    <x:col min="29" max="29" width="70" hidden="0" customWidth="1"/>
  </x:cols>
  <x:sheetData>
    <x:row r="1" ht="30" customHeight="1">
      <x:c r="A1" s="4" t="str">
        <x:v>32 条合格 + 1 条隔离：迁移来源行明细</x:v>
      </x:c>
      <x:c r="B1" s="4" t="str">
        <x:v>32 条合格 + 1 条隔离：迁移来源行明细</x:v>
      </x:c>
      <x:c r="C1" s="4" t="str">
        <x:v>32 条合格 + 1 条隔离：迁移来源行明细</x:v>
      </x:c>
      <x:c r="D1" s="4" t="str">
        <x:v>32 条合格 + 1 条隔离：迁移来源行明细</x:v>
      </x:c>
      <x:c r="E1" s="4" t="str">
        <x:v>32 条合格 + 1 条隔离：迁移来源行明细</x:v>
      </x:c>
      <x:c r="F1" s="4" t="str">
        <x:v>32 条合格 + 1 条隔离：迁移来源行明细</x:v>
      </x:c>
      <x:c r="G1" s="4" t="str">
        <x:v>32 条合格 + 1 条隔离：迁移来源行明细</x:v>
      </x:c>
      <x:c r="H1" s="4" t="str">
        <x:v>32 条合格 + 1 条隔离：迁移来源行明细</x:v>
      </x:c>
      <x:c r="I1" s="4" t="str">
        <x:v>32 条合格 + 1 条隔离：迁移来源行明细</x:v>
      </x:c>
      <x:c r="J1" s="4" t="str">
        <x:v>32 条合格 + 1 条隔离：迁移来源行明细</x:v>
      </x:c>
      <x:c r="K1" s="4" t="str">
        <x:v>32 条合格 + 1 条隔离：迁移来源行明细</x:v>
      </x:c>
      <x:c r="L1" s="4" t="str">
        <x:v>32 条合格 + 1 条隔离：迁移来源行明细</x:v>
      </x:c>
      <x:c r="M1" s="4" t="str">
        <x:v>32 条合格 + 1 条隔离：迁移来源行明细</x:v>
      </x:c>
      <x:c r="N1" s="4" t="str">
        <x:v>32 条合格 + 1 条隔离：迁移来源行明细</x:v>
      </x:c>
      <x:c r="O1" s="4" t="str">
        <x:v>32 条合格 + 1 条隔离：迁移来源行明细</x:v>
      </x:c>
      <x:c r="P1" s="4" t="str">
        <x:v>32 条合格 + 1 条隔离：迁移来源行明细</x:v>
      </x:c>
      <x:c r="Q1" s="4" t="str">
        <x:v>32 条合格 + 1 条隔离：迁移来源行明细</x:v>
      </x:c>
      <x:c r="R1" s="4" t="str">
        <x:v>32 条合格 + 1 条隔离：迁移来源行明细</x:v>
      </x:c>
      <x:c r="S1" s="4" t="str">
        <x:v>32 条合格 + 1 条隔离：迁移来源行明细</x:v>
      </x:c>
      <x:c r="T1" s="4" t="str">
        <x:v>32 条合格 + 1 条隔离：迁移来源行明细</x:v>
      </x:c>
      <x:c r="U1" s="4" t="str">
        <x:v>32 条合格 + 1 条隔离：迁移来源行明细</x:v>
      </x:c>
      <x:c r="V1" s="4" t="str">
        <x:v>32 条合格 + 1 条隔离：迁移来源行明细</x:v>
      </x:c>
      <x:c r="W1" s="4" t="str">
        <x:v>32 条合格 + 1 条隔离：迁移来源行明细</x:v>
      </x:c>
      <x:c r="X1" s="4" t="str">
        <x:v>32 条合格 + 1 条隔离：迁移来源行明细</x:v>
      </x:c>
      <x:c r="Y1" s="4" t="str">
        <x:v>32 条合格 + 1 条隔离：迁移来源行明细</x:v>
      </x:c>
      <x:c r="Z1" s="4" t="str">
        <x:v>32 条合格 + 1 条隔离：迁移来源行明细</x:v>
      </x:c>
      <x:c r="AA1" s="4" t="str">
        <x:v>32 条合格 + 1 条隔离：迁移来源行明细</x:v>
      </x:c>
      <x:c r="AB1" s="4" t="str">
        <x:v>32 条合格 + 1 条隔离：迁移来源行明细</x:v>
      </x:c>
      <x:c r="AC1" s="4" t="str">
        <x:v>32 条合格 + 1 条隔离：迁移来源行明细</x:v>
      </x:c>
    </x:row>
    <x:row r="2">
      <x:c r="A2" s="63" t="str">
        <x:v>黄色列是跨资源引用；红色结果行是故意错误样例。修改 sourceId 时必须同步修改所有引用字段。</x:v>
      </x:c>
      <x:c r="B2" s="63" t="str">
        <x:v>黄色列是跨资源引用；红色结果行是故意错误样例。修改 sourceId 时必须同步修改所有引用字段。</x:v>
      </x:c>
      <x:c r="C2" s="63" t="str">
        <x:v>黄色列是跨资源引用；红色结果行是故意错误样例。修改 sourceId 时必须同步修改所有引用字段。</x:v>
      </x:c>
      <x:c r="D2" s="63" t="str">
        <x:v>黄色列是跨资源引用；红色结果行是故意错误样例。修改 sourceId 时必须同步修改所有引用字段。</x:v>
      </x:c>
      <x:c r="E2" s="63" t="str">
        <x:v>黄色列是跨资源引用；红色结果行是故意错误样例。修改 sourceId 时必须同步修改所有引用字段。</x:v>
      </x:c>
      <x:c r="F2" s="63" t="str">
        <x:v>黄色列是跨资源引用；红色结果行是故意错误样例。修改 sourceId 时必须同步修改所有引用字段。</x:v>
      </x:c>
      <x:c r="G2" s="63" t="str">
        <x:v>黄色列是跨资源引用；红色结果行是故意错误样例。修改 sourceId 时必须同步修改所有引用字段。</x:v>
      </x:c>
      <x:c r="H2" s="63" t="str">
        <x:v>黄色列是跨资源引用；红色结果行是故意错误样例。修改 sourceId 时必须同步修改所有引用字段。</x:v>
      </x:c>
      <x:c r="I2" s="63" t="str">
        <x:v>黄色列是跨资源引用；红色结果行是故意错误样例。修改 sourceId 时必须同步修改所有引用字段。</x:v>
      </x:c>
      <x:c r="J2" s="63" t="str">
        <x:v>黄色列是跨资源引用；红色结果行是故意错误样例。修改 sourceId 时必须同步修改所有引用字段。</x:v>
      </x:c>
      <x:c r="K2" s="63" t="str">
        <x:v>黄色列是跨资源引用；红色结果行是故意错误样例。修改 sourceId 时必须同步修改所有引用字段。</x:v>
      </x:c>
      <x:c r="L2" s="63" t="str">
        <x:v>黄色列是跨资源引用；红色结果行是故意错误样例。修改 sourceId 时必须同步修改所有引用字段。</x:v>
      </x:c>
      <x:c r="M2" s="63" t="str">
        <x:v>黄色列是跨资源引用；红色结果行是故意错误样例。修改 sourceId 时必须同步修改所有引用字段。</x:v>
      </x:c>
      <x:c r="N2" s="63" t="str">
        <x:v>黄色列是跨资源引用；红色结果行是故意错误样例。修改 sourceId 时必须同步修改所有引用字段。</x:v>
      </x:c>
      <x:c r="O2" s="63" t="str">
        <x:v>黄色列是跨资源引用；红色结果行是故意错误样例。修改 sourceId 时必须同步修改所有引用字段。</x:v>
      </x:c>
      <x:c r="P2" s="63" t="str">
        <x:v>黄色列是跨资源引用；红色结果行是故意错误样例。修改 sourceId 时必须同步修改所有引用字段。</x:v>
      </x:c>
      <x:c r="Q2" s="63" t="str">
        <x:v>黄色列是跨资源引用；红色结果行是故意错误样例。修改 sourceId 时必须同步修改所有引用字段。</x:v>
      </x:c>
      <x:c r="R2" s="63" t="str">
        <x:v>黄色列是跨资源引用；红色结果行是故意错误样例。修改 sourceId 时必须同步修改所有引用字段。</x:v>
      </x:c>
      <x:c r="S2" s="63" t="str">
        <x:v>黄色列是跨资源引用；红色结果行是故意错误样例。修改 sourceId 时必须同步修改所有引用字段。</x:v>
      </x:c>
      <x:c r="T2" s="63" t="str">
        <x:v>黄色列是跨资源引用；红色结果行是故意错误样例。修改 sourceId 时必须同步修改所有引用字段。</x:v>
      </x:c>
      <x:c r="U2" s="63" t="str">
        <x:v>黄色列是跨资源引用；红色结果行是故意错误样例。修改 sourceId 时必须同步修改所有引用字段。</x:v>
      </x:c>
      <x:c r="V2" s="63" t="str">
        <x:v>黄色列是跨资源引用；红色结果行是故意错误样例。修改 sourceId 时必须同步修改所有引用字段。</x:v>
      </x:c>
      <x:c r="W2" s="63" t="str">
        <x:v>黄色列是跨资源引用；红色结果行是故意错误样例。修改 sourceId 时必须同步修改所有引用字段。</x:v>
      </x:c>
      <x:c r="X2" s="63" t="str">
        <x:v>黄色列是跨资源引用；红色结果行是故意错误样例。修改 sourceId 时必须同步修改所有引用字段。</x:v>
      </x:c>
      <x:c r="Y2" s="63" t="str">
        <x:v>黄色列是跨资源引用；红色结果行是故意错误样例。修改 sourceId 时必须同步修改所有引用字段。</x:v>
      </x:c>
      <x:c r="Z2" s="63" t="str">
        <x:v>黄色列是跨资源引用；红色结果行是故意错误样例。修改 sourceId 时必须同步修改所有引用字段。</x:v>
      </x:c>
      <x:c r="AA2" s="63" t="str">
        <x:v>黄色列是跨资源引用；红色结果行是故意错误样例。修改 sourceId 时必须同步修改所有引用字段。</x:v>
      </x:c>
      <x:c r="AB2" s="63" t="str">
        <x:v>黄色列是跨资源引用；红色结果行是故意错误样例。修改 sourceId 时必须同步修改所有引用字段。</x:v>
      </x:c>
      <x:c r="AC2" s="63" t="str">
        <x:v>黄色列是跨资源引用；红色结果行是故意错误样例。修改 sourceId 时必须同步修改所有引用字段。</x:v>
      </x:c>
    </x:row>
    <x:row r="3" ht="30" customHeight="1">
      <x:c r="A3" s="26" t="str">
        <x:v>rowNo</x:v>
      </x:c>
      <x:c r="B3" s="27" t="str">
        <x:v>resourceType</x:v>
      </x:c>
      <x:c r="C3" s="27" t="str">
        <x:v>sourceId</x:v>
      </x:c>
      <x:c r="D3" s="27" t="str">
        <x:v>projectSourceId</x:v>
      </x:c>
      <x:c r="E3" s="27" t="str">
        <x:v>buildingSourceId</x:v>
      </x:c>
      <x:c r="F3" s="27" t="str">
        <x:v>customerSourceId</x:v>
      </x:c>
      <x:c r="G3" s="27" t="str">
        <x:v>assetSourceId</x:v>
      </x:c>
      <x:c r="H3" s="27" t="str">
        <x:v>code</x:v>
      </x:c>
      <x:c r="I3" s="27" t="str">
        <x:v>name</x:v>
      </x:c>
      <x:c r="J3" s="27" t="str">
        <x:v>displayName</x:v>
      </x:c>
      <x:c r="K3" s="27" t="str">
        <x:v>buildingType</x:v>
      </x:c>
      <x:c r="L3" s="27" t="str">
        <x:v>assetType</x:v>
      </x:c>
      <x:c r="M3" s="27" t="str">
        <x:v>floorCount</x:v>
      </x:c>
      <x:c r="N3" s="27" t="str">
        <x:v>floorNo</x:v>
      </x:c>
      <x:c r="O3" s="27" t="str">
        <x:v>buildingArea</x:v>
      </x:c>
      <x:c r="P3" s="27" t="str">
        <x:v>usableArea</x:v>
      </x:c>
      <x:c r="Q3" s="27" t="str">
        <x:v>customerNo</x:v>
      </x:c>
      <x:c r="R3" s="27" t="str">
        <x:v>customerType</x:v>
      </x:c>
      <x:c r="S3" s="27" t="str">
        <x:v>customerClass</x:v>
      </x:c>
      <x:c r="T3" s="27" t="str">
        <x:v>gender</x:v>
      </x:c>
      <x:c r="U3" s="27" t="str">
        <x:v>relationType</x:v>
      </x:c>
      <x:c r="V3" s="27" t="str">
        <x:v>primaryRelation</x:v>
      </x:c>
      <x:c r="W3" s="27" t="str">
        <x:v>validFrom</x:v>
      </x:c>
      <x:c r="X3" s="27" t="str">
        <x:v>startDate</x:v>
      </x:c>
      <x:c r="Y3" s="27" t="str">
        <x:v>mobileMasked</x:v>
      </x:c>
      <x:c r="Z3" s="27" t="str">
        <x:v>remarks</x:v>
      </x:c>
      <x:c r="AA3" s="27" t="str">
        <x:v>expectedResult</x:v>
      </x:c>
      <x:c r="AB3" s="27" t="str">
        <x:v>expectedReason</x:v>
      </x:c>
      <x:c r="AC3" s="28" t="str">
        <x:v>data(JSON)</x:v>
      </x:c>
    </x:row>
    <x:row r="4">
      <x:c r="A4" s="110" t="n">
        <x:v>1</x:v>
      </x:c>
      <x:c r="B4" s="92" t="str">
        <x:v>PROJECT</x:v>
      </x:c>
      <x:c r="C4" s="92" t="str">
        <x:v>SRC-PROJECT-20260903-D01</x:v>
      </x:c>
      <x:c r="D4" s="104"/>
      <x:c r="E4" s="104"/>
      <x:c r="F4" s="104"/>
      <x:c r="G4" s="104"/>
      <x:c r="H4" s="92"/>
      <x:c r="I4" s="92" t="str">
        <x:v>交付验收项目 20260903-D01</x:v>
      </x:c>
      <x:c r="J4" s="92"/>
      <x:c r="K4" s="92"/>
      <x:c r="L4" s="92"/>
      <x:c r="M4" s="113"/>
      <x:c r="N4" s="92"/>
      <x:c r="O4" s="107"/>
      <x:c r="P4" s="107"/>
      <x:c r="Q4" s="92"/>
      <x:c r="R4" s="92"/>
      <x:c r="S4" s="92"/>
      <x:c r="T4" s="92"/>
      <x:c r="U4" s="92"/>
      <x:c r="V4" s="92"/>
      <x:c r="W4" s="92"/>
      <x:c r="X4" s="92"/>
      <x:c r="Y4" s="92"/>
      <x:c r="Z4" s="92"/>
      <x:c r="AA4" s="92" t="str">
        <x:v>合格</x:v>
      </x:c>
      <x:c r="AB4" s="92" t="str">
        <x:v>通过字段、引用与批内重复校验</x:v>
      </x:c>
      <x:c r="AC4" s="93" t="str">
        <x:v>{"name":"交付验收项目 20260903-D01"}</x:v>
      </x:c>
    </x:row>
    <x:row r="5">
      <x:c r="A5" s="117" t="n">
        <x:v>2</x:v>
      </x:c>
      <x:c r="B5" s="118" t="str">
        <x:v>BUILDING</x:v>
      </x:c>
      <x:c r="C5" s="118" t="str">
        <x:v>SRC-BUILDING-20260903-D01</x:v>
      </x:c>
      <x:c r="D5" s="105" t="str">
        <x:v>SRC-PROJECT-20260903-D01</x:v>
      </x:c>
      <x:c r="E5" s="105"/>
      <x:c r="F5" s="105"/>
      <x:c r="G5" s="105"/>
      <x:c r="H5" s="118" t="str">
        <x:v>MIG-B-20260903-D01</x:v>
      </x:c>
      <x:c r="I5" s="118" t="str">
        <x:v>交付验收楼栋 D01</x:v>
      </x:c>
      <x:c r="J5" s="118"/>
      <x:c r="K5" s="118" t="str">
        <x:v>RESIDENTIAL</x:v>
      </x:c>
      <x:c r="L5" s="118"/>
      <x:c r="M5" s="120" t="n">
        <x:v>10</x:v>
      </x:c>
      <x:c r="N5" s="118"/>
      <x:c r="O5" s="121"/>
      <x:c r="P5" s="121"/>
      <x:c r="Q5" s="118"/>
      <x:c r="R5" s="118"/>
      <x:c r="S5" s="118"/>
      <x:c r="T5" s="118"/>
      <x:c r="U5" s="118"/>
      <x:c r="V5" s="118"/>
      <x:c r="W5" s="118"/>
      <x:c r="X5" s="118"/>
      <x:c r="Y5" s="118"/>
      <x:c r="Z5" s="118"/>
      <x:c r="AA5" s="118" t="str">
        <x:v>合格</x:v>
      </x:c>
      <x:c r="AB5" s="118" t="str">
        <x:v>通过字段、引用与批内重复校验</x:v>
      </x:c>
      <x:c r="AC5" s="122" t="str">
        <x:v>{"projectSourceId":"SRC-PROJECT-20260903-D01","code":"MIG-B-20260903-D01","name":"交付验收楼栋 D01","buildingType":"RESIDENTIAL","floorCount":10}</x:v>
      </x:c>
    </x:row>
    <x:row r="6">
      <x:c r="A6" s="111" t="n">
        <x:v>3</x:v>
      </x:c>
      <x:c r="B6" s="9" t="str">
        <x:v>ASSET</x:v>
      </x:c>
      <x:c r="C6" s="9" t="str">
        <x:v>SRC-ROOM-20260903-D01-01</x:v>
      </x:c>
      <x:c r="D6" s="105"/>
      <x:c r="E6" s="105" t="str">
        <x:v>SRC-BUILDING-20260903-D01</x:v>
      </x:c>
      <x:c r="F6" s="105"/>
      <x:c r="G6" s="105"/>
      <x:c r="H6" s="9" t="str">
        <x:v>MIG-R-20260903-D01-01</x:v>
      </x:c>
      <x:c r="I6" s="9"/>
      <x:c r="J6" s="9" t="str">
        <x:v>交付验收房屋 01</x:v>
      </x:c>
      <x:c r="K6" s="9"/>
      <x:c r="L6" s="9" t="str">
        <x:v>ROOM</x:v>
      </x:c>
      <x:c r="M6" s="114"/>
      <x:c r="N6" s="9" t="str">
        <x:v>1</x:v>
      </x:c>
      <x:c r="O6" s="108" t="n">
        <x:v>81</x:v>
      </x:c>
      <x:c r="P6" s="108" t="n">
        <x:v>61</x:v>
      </x:c>
      <x:c r="Q6" s="9"/>
      <x:c r="R6" s="9"/>
      <x:c r="S6" s="9"/>
      <x:c r="T6" s="9"/>
      <x:c r="U6" s="9"/>
      <x:c r="V6" s="9"/>
      <x:c r="W6" s="9" t="str">
        <x:v>2026-09-03</x:v>
      </x:c>
      <x:c r="X6" s="9"/>
      <x:c r="Y6" s="9"/>
      <x:c r="Z6" s="9"/>
      <x:c r="AA6" s="9" t="str">
        <x:v>合格</x:v>
      </x:c>
      <x:c r="AB6" s="9" t="str">
        <x:v>通过字段、引用与批内重复校验</x:v>
      </x:c>
      <x:c r="AC6" s="95" t="str">
        <x:v>{"buildingSourceId":"SRC-BUILDING-20260903-D01","assetType":"ROOM","code":"MIG-R-20260903-D01-01","displayName":"交付验收房屋 01","floorNo":"1","buildingArea":81,"usableArea":61,"validFrom":"2026-09-03"}</x:v>
      </x:c>
    </x:row>
    <x:row r="7">
      <x:c r="A7" s="117" t="n">
        <x:v>4</x:v>
      </x:c>
      <x:c r="B7" s="118" t="str">
        <x:v>CUSTOMER</x:v>
      </x:c>
      <x:c r="C7" s="118" t="str">
        <x:v>SRC-CUSTOMER-20260903-D01-01</x:v>
      </x:c>
      <x:c r="D7" s="105"/>
      <x:c r="E7" s="105"/>
      <x:c r="F7" s="105"/>
      <x:c r="G7" s="105"/>
      <x:c r="H7" s="118"/>
      <x:c r="I7" s="118"/>
      <x:c r="J7" s="118" t="str">
        <x:v>交付验收客户 01</x:v>
      </x:c>
      <x:c r="K7" s="118"/>
      <x:c r="L7" s="118"/>
      <x:c r="M7" s="120"/>
      <x:c r="N7" s="118"/>
      <x:c r="O7" s="121"/>
      <x:c r="P7" s="121"/>
      <x:c r="Q7" s="118" t="str">
        <x:v>MIG-C-20260903-D01-01</x:v>
      </x:c>
      <x:c r="R7" s="118" t="str">
        <x:v>PERSON</x:v>
      </x:c>
      <x:c r="S7" s="118" t="str">
        <x:v>OWNER</x:v>
      </x:c>
      <x:c r="T7" s="118" t="str">
        <x:v>UNKNOWN</x:v>
      </x:c>
      <x:c r="U7" s="118"/>
      <x:c r="V7" s="118"/>
      <x:c r="W7" s="118"/>
      <x:c r="X7" s="118"/>
      <x:c r="Y7" s="118"/>
      <x:c r="Z7" s="118" t="str">
        <x:v>交付验收合成样本，不含真实个人信息</x:v>
      </x:c>
      <x:c r="AA7" s="118" t="str">
        <x:v>合格</x:v>
      </x:c>
      <x:c r="AB7" s="118" t="str">
        <x:v>通过字段、引用与批内重复校验</x:v>
      </x:c>
      <x:c r="AC7" s="122" t="str">
        <x:v>{"customerNo":"MIG-C-20260903-D01-01","displayName":"交付验收客户 01","customerType":"PERSON","customerClass":"OWNER","gender":"UNKNOWN","remarks":"交付验收合成样本，不含真实个人信息"}</x:v>
      </x:c>
    </x:row>
    <x:row r="8">
      <x:c r="A8" s="111" t="n">
        <x:v>5</x:v>
      </x:c>
      <x:c r="B8" s="9" t="str">
        <x:v>RELATION</x:v>
      </x:c>
      <x:c r="C8" s="9" t="str">
        <x:v>SRC-RELATION-20260903-D01-01</x:v>
      </x:c>
      <x:c r="D8" s="105"/>
      <x:c r="E8" s="105"/>
      <x:c r="F8" s="105" t="str">
        <x:v>SRC-CUSTOMER-20260903-D01-01</x:v>
      </x:c>
      <x:c r="G8" s="105" t="str">
        <x:v>SRC-ROOM-20260903-D01-01</x:v>
      </x:c>
      <x:c r="H8" s="9"/>
      <x:c r="I8" s="9"/>
      <x:c r="J8" s="9"/>
      <x:c r="K8" s="9"/>
      <x:c r="L8" s="9"/>
      <x:c r="M8" s="114"/>
      <x:c r="N8" s="9"/>
      <x:c r="O8" s="108"/>
      <x:c r="P8" s="108"/>
      <x:c r="Q8" s="9"/>
      <x:c r="R8" s="9"/>
      <x:c r="S8" s="9"/>
      <x:c r="T8" s="9"/>
      <x:c r="U8" s="9" t="str">
        <x:v>OWNER</x:v>
      </x:c>
      <x:c r="V8" s="96" t="b">
        <x:v>1</x:v>
      </x:c>
      <x:c r="W8" s="9"/>
      <x:c r="X8" s="9" t="str">
        <x:v>2026-09-03</x:v>
      </x:c>
      <x:c r="Y8" s="9"/>
      <x:c r="Z8" s="9"/>
      <x:c r="AA8" s="9" t="str">
        <x:v>合格</x:v>
      </x:c>
      <x:c r="AB8" s="9" t="str">
        <x:v>通过字段、引用与批内重复校验</x:v>
      </x:c>
      <x:c r="AC8" s="95" t="str">
        <x:v>{"customerSourceId":"SRC-CUSTOMER-20260903-D01-01","assetSourceId":"SRC-ROOM-20260903-D01-01","relationType":"OWNER","primaryRelation":true,"startDate":"2026-09-03"}</x:v>
      </x:c>
    </x:row>
    <x:row r="9">
      <x:c r="A9" s="117" t="n">
        <x:v>6</x:v>
      </x:c>
      <x:c r="B9" s="118" t="str">
        <x:v>ASSET</x:v>
      </x:c>
      <x:c r="C9" s="118" t="str">
        <x:v>SRC-ROOM-20260903-D01-02</x:v>
      </x:c>
      <x:c r="D9" s="105"/>
      <x:c r="E9" s="105" t="str">
        <x:v>SRC-BUILDING-20260903-D01</x:v>
      </x:c>
      <x:c r="F9" s="105"/>
      <x:c r="G9" s="105"/>
      <x:c r="H9" s="118" t="str">
        <x:v>MIG-R-20260903-D01-02</x:v>
      </x:c>
      <x:c r="I9" s="118"/>
      <x:c r="J9" s="118" t="str">
        <x:v>交付验收房屋 02</x:v>
      </x:c>
      <x:c r="K9" s="118"/>
      <x:c r="L9" s="118" t="str">
        <x:v>ROOM</x:v>
      </x:c>
      <x:c r="M9" s="120"/>
      <x:c r="N9" s="118" t="str">
        <x:v>2</x:v>
      </x:c>
      <x:c r="O9" s="121" t="n">
        <x:v>82</x:v>
      </x:c>
      <x:c r="P9" s="121" t="n">
        <x:v>62</x:v>
      </x:c>
      <x:c r="Q9" s="118"/>
      <x:c r="R9" s="118"/>
      <x:c r="S9" s="118"/>
      <x:c r="T9" s="118"/>
      <x:c r="U9" s="118"/>
      <x:c r="V9" s="118"/>
      <x:c r="W9" s="118" t="str">
        <x:v>2026-09-03</x:v>
      </x:c>
      <x:c r="X9" s="118"/>
      <x:c r="Y9" s="118"/>
      <x:c r="Z9" s="118"/>
      <x:c r="AA9" s="118" t="str">
        <x:v>合格</x:v>
      </x:c>
      <x:c r="AB9" s="118" t="str">
        <x:v>通过字段、引用与批内重复校验</x:v>
      </x:c>
      <x:c r="AC9" s="122" t="str">
        <x:v>{"buildingSourceId":"SRC-BUILDING-20260903-D01","assetType":"ROOM","code":"MIG-R-20260903-D01-02","displayName":"交付验收房屋 02","floorNo":"2","buildingArea":82,"usableArea":62,"validFrom":"2026-09-03"}</x:v>
      </x:c>
    </x:row>
    <x:row r="10">
      <x:c r="A10" s="111" t="n">
        <x:v>7</x:v>
      </x:c>
      <x:c r="B10" s="9" t="str">
        <x:v>CUSTOMER</x:v>
      </x:c>
      <x:c r="C10" s="9" t="str">
        <x:v>SRC-CUSTOMER-20260903-D01-02</x:v>
      </x:c>
      <x:c r="D10" s="105"/>
      <x:c r="E10" s="105"/>
      <x:c r="F10" s="105"/>
      <x:c r="G10" s="105"/>
      <x:c r="H10" s="9"/>
      <x:c r="I10" s="9"/>
      <x:c r="J10" s="9" t="str">
        <x:v>交付验收客户 02</x:v>
      </x:c>
      <x:c r="K10" s="9"/>
      <x:c r="L10" s="9"/>
      <x:c r="M10" s="114"/>
      <x:c r="N10" s="9"/>
      <x:c r="O10" s="108"/>
      <x:c r="P10" s="108"/>
      <x:c r="Q10" s="9" t="str">
        <x:v>MIG-C-20260903-D01-02</x:v>
      </x:c>
      <x:c r="R10" s="9" t="str">
        <x:v>PERSON</x:v>
      </x:c>
      <x:c r="S10" s="9" t="str">
        <x:v>OWNER</x:v>
      </x:c>
      <x:c r="T10" s="9" t="str">
        <x:v>UNKNOWN</x:v>
      </x:c>
      <x:c r="U10" s="9"/>
      <x:c r="V10" s="9"/>
      <x:c r="W10" s="9"/>
      <x:c r="X10" s="9"/>
      <x:c r="Y10" s="9"/>
      <x:c r="Z10" s="9" t="str">
        <x:v>交付验收合成样本，不含真实个人信息</x:v>
      </x:c>
      <x:c r="AA10" s="9" t="str">
        <x:v>合格</x:v>
      </x:c>
      <x:c r="AB10" s="9" t="str">
        <x:v>通过字段、引用与批内重复校验</x:v>
      </x:c>
      <x:c r="AC10" s="95" t="str">
        <x:v>{"customerNo":"MIG-C-20260903-D01-02","displayName":"交付验收客户 02","customerType":"PERSON","customerClass":"OWNER","gender":"UNKNOWN","remarks":"交付验收合成样本，不含真实个人信息"}</x:v>
      </x:c>
    </x:row>
    <x:row r="11">
      <x:c r="A11" s="117" t="n">
        <x:v>8</x:v>
      </x:c>
      <x:c r="B11" s="118" t="str">
        <x:v>RELATION</x:v>
      </x:c>
      <x:c r="C11" s="118" t="str">
        <x:v>SRC-RELATION-20260903-D01-02</x:v>
      </x:c>
      <x:c r="D11" s="105"/>
      <x:c r="E11" s="105"/>
      <x:c r="F11" s="105" t="str">
        <x:v>SRC-CUSTOMER-20260903-D01-02</x:v>
      </x:c>
      <x:c r="G11" s="105" t="str">
        <x:v>SRC-ROOM-20260903-D01-02</x:v>
      </x:c>
      <x:c r="H11" s="118"/>
      <x:c r="I11" s="118"/>
      <x:c r="J11" s="118"/>
      <x:c r="K11" s="118"/>
      <x:c r="L11" s="118"/>
      <x:c r="M11" s="120"/>
      <x:c r="N11" s="118"/>
      <x:c r="O11" s="121"/>
      <x:c r="P11" s="121"/>
      <x:c r="Q11" s="118"/>
      <x:c r="R11" s="118"/>
      <x:c r="S11" s="118"/>
      <x:c r="T11" s="118"/>
      <x:c r="U11" s="118" t="str">
        <x:v>OWNER</x:v>
      </x:c>
      <x:c r="V11" s="124" t="b">
        <x:v>1</x:v>
      </x:c>
      <x:c r="W11" s="118"/>
      <x:c r="X11" s="118" t="str">
        <x:v>2026-09-03</x:v>
      </x:c>
      <x:c r="Y11" s="118"/>
      <x:c r="Z11" s="118"/>
      <x:c r="AA11" s="118" t="str">
        <x:v>合格</x:v>
      </x:c>
      <x:c r="AB11" s="118" t="str">
        <x:v>通过字段、引用与批内重复校验</x:v>
      </x:c>
      <x:c r="AC11" s="122" t="str">
        <x:v>{"customerSourceId":"SRC-CUSTOMER-20260903-D01-02","assetSourceId":"SRC-ROOM-20260903-D01-02","relationType":"OWNER","primaryRelation":true,"startDate":"2026-09-03"}</x:v>
      </x:c>
    </x:row>
    <x:row r="12">
      <x:c r="A12" s="111" t="n">
        <x:v>9</x:v>
      </x:c>
      <x:c r="B12" s="9" t="str">
        <x:v>ASSET</x:v>
      </x:c>
      <x:c r="C12" s="9" t="str">
        <x:v>SRC-ROOM-20260903-D01-03</x:v>
      </x:c>
      <x:c r="D12" s="105"/>
      <x:c r="E12" s="105" t="str">
        <x:v>SRC-BUILDING-20260903-D01</x:v>
      </x:c>
      <x:c r="F12" s="105"/>
      <x:c r="G12" s="105"/>
      <x:c r="H12" s="9" t="str">
        <x:v>MIG-R-20260903-D01-03</x:v>
      </x:c>
      <x:c r="I12" s="9"/>
      <x:c r="J12" s="9" t="str">
        <x:v>交付验收房屋 03</x:v>
      </x:c>
      <x:c r="K12" s="9"/>
      <x:c r="L12" s="9" t="str">
        <x:v>ROOM</x:v>
      </x:c>
      <x:c r="M12" s="114"/>
      <x:c r="N12" s="9" t="str">
        <x:v>3</x:v>
      </x:c>
      <x:c r="O12" s="108" t="n">
        <x:v>83</x:v>
      </x:c>
      <x:c r="P12" s="108" t="n">
        <x:v>63</x:v>
      </x:c>
      <x:c r="Q12" s="9"/>
      <x:c r="R12" s="9"/>
      <x:c r="S12" s="9"/>
      <x:c r="T12" s="9"/>
      <x:c r="U12" s="9"/>
      <x:c r="V12" s="9"/>
      <x:c r="W12" s="9" t="str">
        <x:v>2026-09-03</x:v>
      </x:c>
      <x:c r="X12" s="9"/>
      <x:c r="Y12" s="9"/>
      <x:c r="Z12" s="9"/>
      <x:c r="AA12" s="9" t="str">
        <x:v>合格</x:v>
      </x:c>
      <x:c r="AB12" s="9" t="str">
        <x:v>通过字段、引用与批内重复校验</x:v>
      </x:c>
      <x:c r="AC12" s="95" t="str">
        <x:v>{"buildingSourceId":"SRC-BUILDING-20260903-D01","assetType":"ROOM","code":"MIG-R-20260903-D01-03","displayName":"交付验收房屋 03","floorNo":"3","buildingArea":83,"usableArea":63,"validFrom":"2026-09-03"}</x:v>
      </x:c>
    </x:row>
    <x:row r="13">
      <x:c r="A13" s="117" t="n">
        <x:v>10</x:v>
      </x:c>
      <x:c r="B13" s="118" t="str">
        <x:v>CUSTOMER</x:v>
      </x:c>
      <x:c r="C13" s="118" t="str">
        <x:v>SRC-CUSTOMER-20260903-D01-03</x:v>
      </x:c>
      <x:c r="D13" s="105"/>
      <x:c r="E13" s="105"/>
      <x:c r="F13" s="105"/>
      <x:c r="G13" s="105"/>
      <x:c r="H13" s="118"/>
      <x:c r="I13" s="118"/>
      <x:c r="J13" s="118" t="str">
        <x:v>交付验收客户 03</x:v>
      </x:c>
      <x:c r="K13" s="118"/>
      <x:c r="L13" s="118"/>
      <x:c r="M13" s="120"/>
      <x:c r="N13" s="118"/>
      <x:c r="O13" s="121"/>
      <x:c r="P13" s="121"/>
      <x:c r="Q13" s="118" t="str">
        <x:v>MIG-C-20260903-D01-03</x:v>
      </x:c>
      <x:c r="R13" s="118" t="str">
        <x:v>PERSON</x:v>
      </x:c>
      <x:c r="S13" s="118" t="str">
        <x:v>OWNER</x:v>
      </x:c>
      <x:c r="T13" s="118" t="str">
        <x:v>UNKNOWN</x:v>
      </x:c>
      <x:c r="U13" s="118"/>
      <x:c r="V13" s="118"/>
      <x:c r="W13" s="118"/>
      <x:c r="X13" s="118"/>
      <x:c r="Y13" s="118"/>
      <x:c r="Z13" s="118" t="str">
        <x:v>交付验收合成样本，不含真实个人信息</x:v>
      </x:c>
      <x:c r="AA13" s="118" t="str">
        <x:v>合格</x:v>
      </x:c>
      <x:c r="AB13" s="118" t="str">
        <x:v>通过字段、引用与批内重复校验</x:v>
      </x:c>
      <x:c r="AC13" s="122" t="str">
        <x:v>{"customerNo":"MIG-C-20260903-D01-03","displayName":"交付验收客户 03","customerType":"PERSON","customerClass":"OWNER","gender":"UNKNOWN","remarks":"交付验收合成样本，不含真实个人信息"}</x:v>
      </x:c>
    </x:row>
    <x:row r="14">
      <x:c r="A14" s="111" t="n">
        <x:v>11</x:v>
      </x:c>
      <x:c r="B14" s="9" t="str">
        <x:v>RELATION</x:v>
      </x:c>
      <x:c r="C14" s="9" t="str">
        <x:v>SRC-RELATION-20260903-D01-03</x:v>
      </x:c>
      <x:c r="D14" s="105"/>
      <x:c r="E14" s="105"/>
      <x:c r="F14" s="105" t="str">
        <x:v>SRC-CUSTOMER-20260903-D01-03</x:v>
      </x:c>
      <x:c r="G14" s="105" t="str">
        <x:v>SRC-ROOM-20260903-D01-03</x:v>
      </x:c>
      <x:c r="H14" s="9"/>
      <x:c r="I14" s="9"/>
      <x:c r="J14" s="9"/>
      <x:c r="K14" s="9"/>
      <x:c r="L14" s="9"/>
      <x:c r="M14" s="114"/>
      <x:c r="N14" s="9"/>
      <x:c r="O14" s="108"/>
      <x:c r="P14" s="108"/>
      <x:c r="Q14" s="9"/>
      <x:c r="R14" s="9"/>
      <x:c r="S14" s="9"/>
      <x:c r="T14" s="9"/>
      <x:c r="U14" s="9" t="str">
        <x:v>OWNER</x:v>
      </x:c>
      <x:c r="V14" s="96" t="b">
        <x:v>1</x:v>
      </x:c>
      <x:c r="W14" s="9"/>
      <x:c r="X14" s="9" t="str">
        <x:v>2026-09-03</x:v>
      </x:c>
      <x:c r="Y14" s="9"/>
      <x:c r="Z14" s="9"/>
      <x:c r="AA14" s="9" t="str">
        <x:v>合格</x:v>
      </x:c>
      <x:c r="AB14" s="9" t="str">
        <x:v>通过字段、引用与批内重复校验</x:v>
      </x:c>
      <x:c r="AC14" s="95" t="str">
        <x:v>{"customerSourceId":"SRC-CUSTOMER-20260903-D01-03","assetSourceId":"SRC-ROOM-20260903-D01-03","relationType":"OWNER","primaryRelation":true,"startDate":"2026-09-03"}</x:v>
      </x:c>
    </x:row>
    <x:row r="15">
      <x:c r="A15" s="117" t="n">
        <x:v>12</x:v>
      </x:c>
      <x:c r="B15" s="118" t="str">
        <x:v>ASSET</x:v>
      </x:c>
      <x:c r="C15" s="118" t="str">
        <x:v>SRC-ROOM-20260903-D01-04</x:v>
      </x:c>
      <x:c r="D15" s="105"/>
      <x:c r="E15" s="105" t="str">
        <x:v>SRC-BUILDING-20260903-D01</x:v>
      </x:c>
      <x:c r="F15" s="105"/>
      <x:c r="G15" s="105"/>
      <x:c r="H15" s="118" t="str">
        <x:v>MIG-R-20260903-D01-04</x:v>
      </x:c>
      <x:c r="I15" s="118"/>
      <x:c r="J15" s="118" t="str">
        <x:v>交付验收房屋 04</x:v>
      </x:c>
      <x:c r="K15" s="118"/>
      <x:c r="L15" s="118" t="str">
        <x:v>ROOM</x:v>
      </x:c>
      <x:c r="M15" s="120"/>
      <x:c r="N15" s="118" t="str">
        <x:v>4</x:v>
      </x:c>
      <x:c r="O15" s="121" t="n">
        <x:v>84</x:v>
      </x:c>
      <x:c r="P15" s="121" t="n">
        <x:v>64</x:v>
      </x:c>
      <x:c r="Q15" s="118"/>
      <x:c r="R15" s="118"/>
      <x:c r="S15" s="118"/>
      <x:c r="T15" s="118"/>
      <x:c r="U15" s="118"/>
      <x:c r="V15" s="118"/>
      <x:c r="W15" s="118" t="str">
        <x:v>2026-09-03</x:v>
      </x:c>
      <x:c r="X15" s="118"/>
      <x:c r="Y15" s="118"/>
      <x:c r="Z15" s="118"/>
      <x:c r="AA15" s="118" t="str">
        <x:v>合格</x:v>
      </x:c>
      <x:c r="AB15" s="118" t="str">
        <x:v>通过字段、引用与批内重复校验</x:v>
      </x:c>
      <x:c r="AC15" s="122" t="str">
        <x:v>{"buildingSourceId":"SRC-BUILDING-20260903-D01","assetType":"ROOM","code":"MIG-R-20260903-D01-04","displayName":"交付验收房屋 04","floorNo":"4","buildingArea":84,"usableArea":64,"validFrom":"2026-09-03"}</x:v>
      </x:c>
    </x:row>
    <x:row r="16">
      <x:c r="A16" s="111" t="n">
        <x:v>13</x:v>
      </x:c>
      <x:c r="B16" s="9" t="str">
        <x:v>CUSTOMER</x:v>
      </x:c>
      <x:c r="C16" s="9" t="str">
        <x:v>SRC-CUSTOMER-20260903-D01-04</x:v>
      </x:c>
      <x:c r="D16" s="105"/>
      <x:c r="E16" s="105"/>
      <x:c r="F16" s="105"/>
      <x:c r="G16" s="105"/>
      <x:c r="H16" s="9"/>
      <x:c r="I16" s="9"/>
      <x:c r="J16" s="9" t="str">
        <x:v>交付验收客户 04</x:v>
      </x:c>
      <x:c r="K16" s="9"/>
      <x:c r="L16" s="9"/>
      <x:c r="M16" s="114"/>
      <x:c r="N16" s="9"/>
      <x:c r="O16" s="108"/>
      <x:c r="P16" s="108"/>
      <x:c r="Q16" s="9" t="str">
        <x:v>MIG-C-20260903-D01-04</x:v>
      </x:c>
      <x:c r="R16" s="9" t="str">
        <x:v>PERSON</x:v>
      </x:c>
      <x:c r="S16" s="9" t="str">
        <x:v>OWNER</x:v>
      </x:c>
      <x:c r="T16" s="9" t="str">
        <x:v>UNKNOWN</x:v>
      </x:c>
      <x:c r="U16" s="9"/>
      <x:c r="V16" s="9"/>
      <x:c r="W16" s="9"/>
      <x:c r="X16" s="9"/>
      <x:c r="Y16" s="9"/>
      <x:c r="Z16" s="9" t="str">
        <x:v>交付验收合成样本，不含真实个人信息</x:v>
      </x:c>
      <x:c r="AA16" s="9" t="str">
        <x:v>合格</x:v>
      </x:c>
      <x:c r="AB16" s="9" t="str">
        <x:v>通过字段、引用与批内重复校验</x:v>
      </x:c>
      <x:c r="AC16" s="95" t="str">
        <x:v>{"customerNo":"MIG-C-20260903-D01-04","displayName":"交付验收客户 04","customerType":"PERSON","customerClass":"OWNER","gender":"UNKNOWN","remarks":"交付验收合成样本，不含真实个人信息"}</x:v>
      </x:c>
    </x:row>
    <x:row r="17">
      <x:c r="A17" s="117" t="n">
        <x:v>14</x:v>
      </x:c>
      <x:c r="B17" s="118" t="str">
        <x:v>RELATION</x:v>
      </x:c>
      <x:c r="C17" s="118" t="str">
        <x:v>SRC-RELATION-20260903-D01-04</x:v>
      </x:c>
      <x:c r="D17" s="105"/>
      <x:c r="E17" s="105"/>
      <x:c r="F17" s="105" t="str">
        <x:v>SRC-CUSTOMER-20260903-D01-04</x:v>
      </x:c>
      <x:c r="G17" s="105" t="str">
        <x:v>SRC-ROOM-20260903-D01-04</x:v>
      </x:c>
      <x:c r="H17" s="118"/>
      <x:c r="I17" s="118"/>
      <x:c r="J17" s="118"/>
      <x:c r="K17" s="118"/>
      <x:c r="L17" s="118"/>
      <x:c r="M17" s="120"/>
      <x:c r="N17" s="118"/>
      <x:c r="O17" s="121"/>
      <x:c r="P17" s="121"/>
      <x:c r="Q17" s="118"/>
      <x:c r="R17" s="118"/>
      <x:c r="S17" s="118"/>
      <x:c r="T17" s="118"/>
      <x:c r="U17" s="118" t="str">
        <x:v>OWNER</x:v>
      </x:c>
      <x:c r="V17" s="124" t="b">
        <x:v>1</x:v>
      </x:c>
      <x:c r="W17" s="118"/>
      <x:c r="X17" s="118" t="str">
        <x:v>2026-09-03</x:v>
      </x:c>
      <x:c r="Y17" s="118"/>
      <x:c r="Z17" s="118"/>
      <x:c r="AA17" s="118" t="str">
        <x:v>合格</x:v>
      </x:c>
      <x:c r="AB17" s="118" t="str">
        <x:v>通过字段、引用与批内重复校验</x:v>
      </x:c>
      <x:c r="AC17" s="122" t="str">
        <x:v>{"customerSourceId":"SRC-CUSTOMER-20260903-D01-04","assetSourceId":"SRC-ROOM-20260903-D01-04","relationType":"OWNER","primaryRelation":true,"startDate":"2026-09-03"}</x:v>
      </x:c>
    </x:row>
    <x:row r="18">
      <x:c r="A18" s="111" t="n">
        <x:v>15</x:v>
      </x:c>
      <x:c r="B18" s="9" t="str">
        <x:v>ASSET</x:v>
      </x:c>
      <x:c r="C18" s="9" t="str">
        <x:v>SRC-ROOM-20260903-D01-05</x:v>
      </x:c>
      <x:c r="D18" s="105"/>
      <x:c r="E18" s="105" t="str">
        <x:v>SRC-BUILDING-20260903-D01</x:v>
      </x:c>
      <x:c r="F18" s="105"/>
      <x:c r="G18" s="105"/>
      <x:c r="H18" s="9" t="str">
        <x:v>MIG-R-20260903-D01-05</x:v>
      </x:c>
      <x:c r="I18" s="9"/>
      <x:c r="J18" s="9" t="str">
        <x:v>交付验收房屋 05</x:v>
      </x:c>
      <x:c r="K18" s="9"/>
      <x:c r="L18" s="9" t="str">
        <x:v>ROOM</x:v>
      </x:c>
      <x:c r="M18" s="114"/>
      <x:c r="N18" s="9" t="str">
        <x:v>5</x:v>
      </x:c>
      <x:c r="O18" s="108" t="n">
        <x:v>85</x:v>
      </x:c>
      <x:c r="P18" s="108" t="n">
        <x:v>65</x:v>
      </x:c>
      <x:c r="Q18" s="9"/>
      <x:c r="R18" s="9"/>
      <x:c r="S18" s="9"/>
      <x:c r="T18" s="9"/>
      <x:c r="U18" s="9"/>
      <x:c r="V18" s="9"/>
      <x:c r="W18" s="9" t="str">
        <x:v>2026-09-03</x:v>
      </x:c>
      <x:c r="X18" s="9"/>
      <x:c r="Y18" s="9"/>
      <x:c r="Z18" s="9"/>
      <x:c r="AA18" s="9" t="str">
        <x:v>合格</x:v>
      </x:c>
      <x:c r="AB18" s="9" t="str">
        <x:v>通过字段、引用与批内重复校验</x:v>
      </x:c>
      <x:c r="AC18" s="95" t="str">
        <x:v>{"buildingSourceId":"SRC-BUILDING-20260903-D01","assetType":"ROOM","code":"MIG-R-20260903-D01-05","displayName":"交付验收房屋 05","floorNo":"5","buildingArea":85,"usableArea":65,"validFrom":"2026-09-03"}</x:v>
      </x:c>
    </x:row>
    <x:row r="19">
      <x:c r="A19" s="117" t="n">
        <x:v>16</x:v>
      </x:c>
      <x:c r="B19" s="118" t="str">
        <x:v>CUSTOMER</x:v>
      </x:c>
      <x:c r="C19" s="118" t="str">
        <x:v>SRC-CUSTOMER-20260903-D01-05</x:v>
      </x:c>
      <x:c r="D19" s="105"/>
      <x:c r="E19" s="105"/>
      <x:c r="F19" s="105"/>
      <x:c r="G19" s="105"/>
      <x:c r="H19" s="118"/>
      <x:c r="I19" s="118"/>
      <x:c r="J19" s="118" t="str">
        <x:v>交付验收客户 05</x:v>
      </x:c>
      <x:c r="K19" s="118"/>
      <x:c r="L19" s="118"/>
      <x:c r="M19" s="120"/>
      <x:c r="N19" s="118"/>
      <x:c r="O19" s="121"/>
      <x:c r="P19" s="121"/>
      <x:c r="Q19" s="118" t="str">
        <x:v>MIG-C-20260903-D01-05</x:v>
      </x:c>
      <x:c r="R19" s="118" t="str">
        <x:v>PERSON</x:v>
      </x:c>
      <x:c r="S19" s="118" t="str">
        <x:v>OWNER</x:v>
      </x:c>
      <x:c r="T19" s="118" t="str">
        <x:v>UNKNOWN</x:v>
      </x:c>
      <x:c r="U19" s="118"/>
      <x:c r="V19" s="118"/>
      <x:c r="W19" s="118"/>
      <x:c r="X19" s="118"/>
      <x:c r="Y19" s="118"/>
      <x:c r="Z19" s="118" t="str">
        <x:v>交付验收合成样本，不含真实个人信息</x:v>
      </x:c>
      <x:c r="AA19" s="118" t="str">
        <x:v>合格</x:v>
      </x:c>
      <x:c r="AB19" s="118" t="str">
        <x:v>通过字段、引用与批内重复校验</x:v>
      </x:c>
      <x:c r="AC19" s="122" t="str">
        <x:v>{"customerNo":"MIG-C-20260903-D01-05","displayName":"交付验收客户 05","customerType":"PERSON","customerClass":"OWNER","gender":"UNKNOWN","remarks":"交付验收合成样本，不含真实个人信息"}</x:v>
      </x:c>
    </x:row>
    <x:row r="20">
      <x:c r="A20" s="111" t="n">
        <x:v>17</x:v>
      </x:c>
      <x:c r="B20" s="9" t="str">
        <x:v>RELATION</x:v>
      </x:c>
      <x:c r="C20" s="9" t="str">
        <x:v>SRC-RELATION-20260903-D01-05</x:v>
      </x:c>
      <x:c r="D20" s="105"/>
      <x:c r="E20" s="105"/>
      <x:c r="F20" s="105" t="str">
        <x:v>SRC-CUSTOMER-20260903-D01-05</x:v>
      </x:c>
      <x:c r="G20" s="105" t="str">
        <x:v>SRC-ROOM-20260903-D01-05</x:v>
      </x:c>
      <x:c r="H20" s="9"/>
      <x:c r="I20" s="9"/>
      <x:c r="J20" s="9"/>
      <x:c r="K20" s="9"/>
      <x:c r="L20" s="9"/>
      <x:c r="M20" s="114"/>
      <x:c r="N20" s="9"/>
      <x:c r="O20" s="108"/>
      <x:c r="P20" s="108"/>
      <x:c r="Q20" s="9"/>
      <x:c r="R20" s="9"/>
      <x:c r="S20" s="9"/>
      <x:c r="T20" s="9"/>
      <x:c r="U20" s="9" t="str">
        <x:v>OWNER</x:v>
      </x:c>
      <x:c r="V20" s="96" t="b">
        <x:v>1</x:v>
      </x:c>
      <x:c r="W20" s="9"/>
      <x:c r="X20" s="9" t="str">
        <x:v>2026-09-03</x:v>
      </x:c>
      <x:c r="Y20" s="9"/>
      <x:c r="Z20" s="9"/>
      <x:c r="AA20" s="9" t="str">
        <x:v>合格</x:v>
      </x:c>
      <x:c r="AB20" s="9" t="str">
        <x:v>通过字段、引用与批内重复校验</x:v>
      </x:c>
      <x:c r="AC20" s="95" t="str">
        <x:v>{"customerSourceId":"SRC-CUSTOMER-20260903-D01-05","assetSourceId":"SRC-ROOM-20260903-D01-05","relationType":"OWNER","primaryRelation":true,"startDate":"2026-09-03"}</x:v>
      </x:c>
    </x:row>
    <x:row r="21">
      <x:c r="A21" s="117" t="n">
        <x:v>18</x:v>
      </x:c>
      <x:c r="B21" s="118" t="str">
        <x:v>ASSET</x:v>
      </x:c>
      <x:c r="C21" s="118" t="str">
        <x:v>SRC-ROOM-20260903-D01-06</x:v>
      </x:c>
      <x:c r="D21" s="105"/>
      <x:c r="E21" s="105" t="str">
        <x:v>SRC-BUILDING-20260903-D01</x:v>
      </x:c>
      <x:c r="F21" s="105"/>
      <x:c r="G21" s="105"/>
      <x:c r="H21" s="118" t="str">
        <x:v>MIG-R-20260903-D01-06</x:v>
      </x:c>
      <x:c r="I21" s="118"/>
      <x:c r="J21" s="118" t="str">
        <x:v>交付验收房屋 06</x:v>
      </x:c>
      <x:c r="K21" s="118"/>
      <x:c r="L21" s="118" t="str">
        <x:v>ROOM</x:v>
      </x:c>
      <x:c r="M21" s="120"/>
      <x:c r="N21" s="118" t="str">
        <x:v>6</x:v>
      </x:c>
      <x:c r="O21" s="121" t="n">
        <x:v>86</x:v>
      </x:c>
      <x:c r="P21" s="121" t="n">
        <x:v>66</x:v>
      </x:c>
      <x:c r="Q21" s="118"/>
      <x:c r="R21" s="118"/>
      <x:c r="S21" s="118"/>
      <x:c r="T21" s="118"/>
      <x:c r="U21" s="118"/>
      <x:c r="V21" s="118"/>
      <x:c r="W21" s="118" t="str">
        <x:v>2026-09-03</x:v>
      </x:c>
      <x:c r="X21" s="118"/>
      <x:c r="Y21" s="118"/>
      <x:c r="Z21" s="118"/>
      <x:c r="AA21" s="118" t="str">
        <x:v>合格</x:v>
      </x:c>
      <x:c r="AB21" s="118" t="str">
        <x:v>通过字段、引用与批内重复校验</x:v>
      </x:c>
      <x:c r="AC21" s="122" t="str">
        <x:v>{"buildingSourceId":"SRC-BUILDING-20260903-D01","assetType":"ROOM","code":"MIG-R-20260903-D01-06","displayName":"交付验收房屋 06","floorNo":"6","buildingArea":86,"usableArea":66,"validFrom":"2026-09-03"}</x:v>
      </x:c>
    </x:row>
    <x:row r="22">
      <x:c r="A22" s="111" t="n">
        <x:v>19</x:v>
      </x:c>
      <x:c r="B22" s="9" t="str">
        <x:v>CUSTOMER</x:v>
      </x:c>
      <x:c r="C22" s="9" t="str">
        <x:v>SRC-CUSTOMER-20260903-D01-06</x:v>
      </x:c>
      <x:c r="D22" s="105"/>
      <x:c r="E22" s="105"/>
      <x:c r="F22" s="105"/>
      <x:c r="G22" s="105"/>
      <x:c r="H22" s="9"/>
      <x:c r="I22" s="9"/>
      <x:c r="J22" s="9" t="str">
        <x:v>交付验收客户 06</x:v>
      </x:c>
      <x:c r="K22" s="9"/>
      <x:c r="L22" s="9"/>
      <x:c r="M22" s="114"/>
      <x:c r="N22" s="9"/>
      <x:c r="O22" s="108"/>
      <x:c r="P22" s="108"/>
      <x:c r="Q22" s="9" t="str">
        <x:v>MIG-C-20260903-D01-06</x:v>
      </x:c>
      <x:c r="R22" s="9" t="str">
        <x:v>PERSON</x:v>
      </x:c>
      <x:c r="S22" s="9" t="str">
        <x:v>OWNER</x:v>
      </x:c>
      <x:c r="T22" s="9" t="str">
        <x:v>UNKNOWN</x:v>
      </x:c>
      <x:c r="U22" s="9"/>
      <x:c r="V22" s="9"/>
      <x:c r="W22" s="9"/>
      <x:c r="X22" s="9"/>
      <x:c r="Y22" s="9"/>
      <x:c r="Z22" s="9" t="str">
        <x:v>交付验收合成样本，不含真实个人信息</x:v>
      </x:c>
      <x:c r="AA22" s="9" t="str">
        <x:v>合格</x:v>
      </x:c>
      <x:c r="AB22" s="9" t="str">
        <x:v>通过字段、引用与批内重复校验</x:v>
      </x:c>
      <x:c r="AC22" s="95" t="str">
        <x:v>{"customerNo":"MIG-C-20260903-D01-06","displayName":"交付验收客户 06","customerType":"PERSON","customerClass":"OWNER","gender":"UNKNOWN","remarks":"交付验收合成样本，不含真实个人信息"}</x:v>
      </x:c>
    </x:row>
    <x:row r="23">
      <x:c r="A23" s="117" t="n">
        <x:v>20</x:v>
      </x:c>
      <x:c r="B23" s="118" t="str">
        <x:v>RELATION</x:v>
      </x:c>
      <x:c r="C23" s="118" t="str">
        <x:v>SRC-RELATION-20260903-D01-06</x:v>
      </x:c>
      <x:c r="D23" s="105"/>
      <x:c r="E23" s="105"/>
      <x:c r="F23" s="105" t="str">
        <x:v>SRC-CUSTOMER-20260903-D01-06</x:v>
      </x:c>
      <x:c r="G23" s="105" t="str">
        <x:v>SRC-ROOM-20260903-D01-06</x:v>
      </x:c>
      <x:c r="H23" s="118"/>
      <x:c r="I23" s="118"/>
      <x:c r="J23" s="118"/>
      <x:c r="K23" s="118"/>
      <x:c r="L23" s="118"/>
      <x:c r="M23" s="120"/>
      <x:c r="N23" s="118"/>
      <x:c r="O23" s="121"/>
      <x:c r="P23" s="121"/>
      <x:c r="Q23" s="118"/>
      <x:c r="R23" s="118"/>
      <x:c r="S23" s="118"/>
      <x:c r="T23" s="118"/>
      <x:c r="U23" s="118" t="str">
        <x:v>OWNER</x:v>
      </x:c>
      <x:c r="V23" s="124" t="b">
        <x:v>1</x:v>
      </x:c>
      <x:c r="W23" s="118"/>
      <x:c r="X23" s="118" t="str">
        <x:v>2026-09-03</x:v>
      </x:c>
      <x:c r="Y23" s="118"/>
      <x:c r="Z23" s="118"/>
      <x:c r="AA23" s="118" t="str">
        <x:v>合格</x:v>
      </x:c>
      <x:c r="AB23" s="118" t="str">
        <x:v>通过字段、引用与批内重复校验</x:v>
      </x:c>
      <x:c r="AC23" s="122" t="str">
        <x:v>{"customerSourceId":"SRC-CUSTOMER-20260903-D01-06","assetSourceId":"SRC-ROOM-20260903-D01-06","relationType":"OWNER","primaryRelation":true,"startDate":"2026-09-03"}</x:v>
      </x:c>
    </x:row>
    <x:row r="24">
      <x:c r="A24" s="111" t="n">
        <x:v>21</x:v>
      </x:c>
      <x:c r="B24" s="9" t="str">
        <x:v>ASSET</x:v>
      </x:c>
      <x:c r="C24" s="9" t="str">
        <x:v>SRC-ROOM-20260903-D01-07</x:v>
      </x:c>
      <x:c r="D24" s="105"/>
      <x:c r="E24" s="105" t="str">
        <x:v>SRC-BUILDING-20260903-D01</x:v>
      </x:c>
      <x:c r="F24" s="105"/>
      <x:c r="G24" s="105"/>
      <x:c r="H24" s="9" t="str">
        <x:v>MIG-R-20260903-D01-07</x:v>
      </x:c>
      <x:c r="I24" s="9"/>
      <x:c r="J24" s="9" t="str">
        <x:v>交付验收房屋 07</x:v>
      </x:c>
      <x:c r="K24" s="9"/>
      <x:c r="L24" s="9" t="str">
        <x:v>ROOM</x:v>
      </x:c>
      <x:c r="M24" s="114"/>
      <x:c r="N24" s="9" t="str">
        <x:v>7</x:v>
      </x:c>
      <x:c r="O24" s="108" t="n">
        <x:v>87</x:v>
      </x:c>
      <x:c r="P24" s="108" t="n">
        <x:v>67</x:v>
      </x:c>
      <x:c r="Q24" s="9"/>
      <x:c r="R24" s="9"/>
      <x:c r="S24" s="9"/>
      <x:c r="T24" s="9"/>
      <x:c r="U24" s="9"/>
      <x:c r="V24" s="9"/>
      <x:c r="W24" s="9" t="str">
        <x:v>2026-09-03</x:v>
      </x:c>
      <x:c r="X24" s="9"/>
      <x:c r="Y24" s="9"/>
      <x:c r="Z24" s="9"/>
      <x:c r="AA24" s="9" t="str">
        <x:v>合格</x:v>
      </x:c>
      <x:c r="AB24" s="9" t="str">
        <x:v>通过字段、引用与批内重复校验</x:v>
      </x:c>
      <x:c r="AC24" s="95" t="str">
        <x:v>{"buildingSourceId":"SRC-BUILDING-20260903-D01","assetType":"ROOM","code":"MIG-R-20260903-D01-07","displayName":"交付验收房屋 07","floorNo":"7","buildingArea":87,"usableArea":67,"validFrom":"2026-09-03"}</x:v>
      </x:c>
    </x:row>
    <x:row r="25">
      <x:c r="A25" s="117" t="n">
        <x:v>22</x:v>
      </x:c>
      <x:c r="B25" s="118" t="str">
        <x:v>CUSTOMER</x:v>
      </x:c>
      <x:c r="C25" s="118" t="str">
        <x:v>SRC-CUSTOMER-20260903-D01-07</x:v>
      </x:c>
      <x:c r="D25" s="105"/>
      <x:c r="E25" s="105"/>
      <x:c r="F25" s="105"/>
      <x:c r="G25" s="105"/>
      <x:c r="H25" s="118"/>
      <x:c r="I25" s="118"/>
      <x:c r="J25" s="118" t="str">
        <x:v>交付验收客户 07</x:v>
      </x:c>
      <x:c r="K25" s="118"/>
      <x:c r="L25" s="118"/>
      <x:c r="M25" s="120"/>
      <x:c r="N25" s="118"/>
      <x:c r="O25" s="121"/>
      <x:c r="P25" s="121"/>
      <x:c r="Q25" s="118" t="str">
        <x:v>MIG-C-20260903-D01-07</x:v>
      </x:c>
      <x:c r="R25" s="118" t="str">
        <x:v>PERSON</x:v>
      </x:c>
      <x:c r="S25" s="118" t="str">
        <x:v>OWNER</x:v>
      </x:c>
      <x:c r="T25" s="118" t="str">
        <x:v>UNKNOWN</x:v>
      </x:c>
      <x:c r="U25" s="118"/>
      <x:c r="V25" s="118"/>
      <x:c r="W25" s="118"/>
      <x:c r="X25" s="118"/>
      <x:c r="Y25" s="118"/>
      <x:c r="Z25" s="118" t="str">
        <x:v>交付验收合成样本，不含真实个人信息</x:v>
      </x:c>
      <x:c r="AA25" s="118" t="str">
        <x:v>合格</x:v>
      </x:c>
      <x:c r="AB25" s="118" t="str">
        <x:v>通过字段、引用与批内重复校验</x:v>
      </x:c>
      <x:c r="AC25" s="122" t="str">
        <x:v>{"customerNo":"MIG-C-20260903-D01-07","displayName":"交付验收客户 07","customerType":"PERSON","customerClass":"OWNER","gender":"UNKNOWN","remarks":"交付验收合成样本，不含真实个人信息"}</x:v>
      </x:c>
    </x:row>
    <x:row r="26">
      <x:c r="A26" s="111" t="n">
        <x:v>23</x:v>
      </x:c>
      <x:c r="B26" s="9" t="str">
        <x:v>RELATION</x:v>
      </x:c>
      <x:c r="C26" s="9" t="str">
        <x:v>SRC-RELATION-20260903-D01-07</x:v>
      </x:c>
      <x:c r="D26" s="105"/>
      <x:c r="E26" s="105"/>
      <x:c r="F26" s="105" t="str">
        <x:v>SRC-CUSTOMER-20260903-D01-07</x:v>
      </x:c>
      <x:c r="G26" s="105" t="str">
        <x:v>SRC-ROOM-20260903-D01-07</x:v>
      </x:c>
      <x:c r="H26" s="9"/>
      <x:c r="I26" s="9"/>
      <x:c r="J26" s="9"/>
      <x:c r="K26" s="9"/>
      <x:c r="L26" s="9"/>
      <x:c r="M26" s="114"/>
      <x:c r="N26" s="9"/>
      <x:c r="O26" s="108"/>
      <x:c r="P26" s="108"/>
      <x:c r="Q26" s="9"/>
      <x:c r="R26" s="9"/>
      <x:c r="S26" s="9"/>
      <x:c r="T26" s="9"/>
      <x:c r="U26" s="9" t="str">
        <x:v>OWNER</x:v>
      </x:c>
      <x:c r="V26" s="96" t="b">
        <x:v>1</x:v>
      </x:c>
      <x:c r="W26" s="9"/>
      <x:c r="X26" s="9" t="str">
        <x:v>2026-09-03</x:v>
      </x:c>
      <x:c r="Y26" s="9"/>
      <x:c r="Z26" s="9"/>
      <x:c r="AA26" s="9" t="str">
        <x:v>合格</x:v>
      </x:c>
      <x:c r="AB26" s="9" t="str">
        <x:v>通过字段、引用与批内重复校验</x:v>
      </x:c>
      <x:c r="AC26" s="95" t="str">
        <x:v>{"customerSourceId":"SRC-CUSTOMER-20260903-D01-07","assetSourceId":"SRC-ROOM-20260903-D01-07","relationType":"OWNER","primaryRelation":true,"startDate":"2026-09-03"}</x:v>
      </x:c>
    </x:row>
    <x:row r="27">
      <x:c r="A27" s="117" t="n">
        <x:v>24</x:v>
      </x:c>
      <x:c r="B27" s="118" t="str">
        <x:v>ASSET</x:v>
      </x:c>
      <x:c r="C27" s="118" t="str">
        <x:v>SRC-ROOM-20260903-D01-08</x:v>
      </x:c>
      <x:c r="D27" s="105"/>
      <x:c r="E27" s="105" t="str">
        <x:v>SRC-BUILDING-20260903-D01</x:v>
      </x:c>
      <x:c r="F27" s="105"/>
      <x:c r="G27" s="105"/>
      <x:c r="H27" s="118" t="str">
        <x:v>MIG-R-20260903-D01-08</x:v>
      </x:c>
      <x:c r="I27" s="118"/>
      <x:c r="J27" s="118" t="str">
        <x:v>交付验收房屋 08</x:v>
      </x:c>
      <x:c r="K27" s="118"/>
      <x:c r="L27" s="118" t="str">
        <x:v>ROOM</x:v>
      </x:c>
      <x:c r="M27" s="120"/>
      <x:c r="N27" s="118" t="str">
        <x:v>8</x:v>
      </x:c>
      <x:c r="O27" s="121" t="n">
        <x:v>88</x:v>
      </x:c>
      <x:c r="P27" s="121" t="n">
        <x:v>68</x:v>
      </x:c>
      <x:c r="Q27" s="118"/>
      <x:c r="R27" s="118"/>
      <x:c r="S27" s="118"/>
      <x:c r="T27" s="118"/>
      <x:c r="U27" s="118"/>
      <x:c r="V27" s="118"/>
      <x:c r="W27" s="118" t="str">
        <x:v>2026-09-03</x:v>
      </x:c>
      <x:c r="X27" s="118"/>
      <x:c r="Y27" s="118"/>
      <x:c r="Z27" s="118"/>
      <x:c r="AA27" s="118" t="str">
        <x:v>合格</x:v>
      </x:c>
      <x:c r="AB27" s="118" t="str">
        <x:v>通过字段、引用与批内重复校验</x:v>
      </x:c>
      <x:c r="AC27" s="122" t="str">
        <x:v>{"buildingSourceId":"SRC-BUILDING-20260903-D01","assetType":"ROOM","code":"MIG-R-20260903-D01-08","displayName":"交付验收房屋 08","floorNo":"8","buildingArea":88,"usableArea":68,"validFrom":"2026-09-03"}</x:v>
      </x:c>
    </x:row>
    <x:row r="28">
      <x:c r="A28" s="111" t="n">
        <x:v>25</x:v>
      </x:c>
      <x:c r="B28" s="9" t="str">
        <x:v>CUSTOMER</x:v>
      </x:c>
      <x:c r="C28" s="9" t="str">
        <x:v>SRC-CUSTOMER-20260903-D01-08</x:v>
      </x:c>
      <x:c r="D28" s="105"/>
      <x:c r="E28" s="105"/>
      <x:c r="F28" s="105"/>
      <x:c r="G28" s="105"/>
      <x:c r="H28" s="9"/>
      <x:c r="I28" s="9"/>
      <x:c r="J28" s="9" t="str">
        <x:v>交付验收客户 08</x:v>
      </x:c>
      <x:c r="K28" s="9"/>
      <x:c r="L28" s="9"/>
      <x:c r="M28" s="114"/>
      <x:c r="N28" s="9"/>
      <x:c r="O28" s="108"/>
      <x:c r="P28" s="108"/>
      <x:c r="Q28" s="9" t="str">
        <x:v>MIG-C-20260903-D01-08</x:v>
      </x:c>
      <x:c r="R28" s="9" t="str">
        <x:v>PERSON</x:v>
      </x:c>
      <x:c r="S28" s="9" t="str">
        <x:v>OWNER</x:v>
      </x:c>
      <x:c r="T28" s="9" t="str">
        <x:v>UNKNOWN</x:v>
      </x:c>
      <x:c r="U28" s="9"/>
      <x:c r="V28" s="9"/>
      <x:c r="W28" s="9"/>
      <x:c r="X28" s="9"/>
      <x:c r="Y28" s="9"/>
      <x:c r="Z28" s="9" t="str">
        <x:v>交付验收合成样本，不含真实个人信息</x:v>
      </x:c>
      <x:c r="AA28" s="9" t="str">
        <x:v>合格</x:v>
      </x:c>
      <x:c r="AB28" s="9" t="str">
        <x:v>通过字段、引用与批内重复校验</x:v>
      </x:c>
      <x:c r="AC28" s="95" t="str">
        <x:v>{"customerNo":"MIG-C-20260903-D01-08","displayName":"交付验收客户 08","customerType":"PERSON","customerClass":"OWNER","gender":"UNKNOWN","remarks":"交付验收合成样本，不含真实个人信息"}</x:v>
      </x:c>
    </x:row>
    <x:row r="29">
      <x:c r="A29" s="117" t="n">
        <x:v>26</x:v>
      </x:c>
      <x:c r="B29" s="118" t="str">
        <x:v>RELATION</x:v>
      </x:c>
      <x:c r="C29" s="118" t="str">
        <x:v>SRC-RELATION-20260903-D01-08</x:v>
      </x:c>
      <x:c r="D29" s="105"/>
      <x:c r="E29" s="105"/>
      <x:c r="F29" s="105" t="str">
        <x:v>SRC-CUSTOMER-20260903-D01-08</x:v>
      </x:c>
      <x:c r="G29" s="105" t="str">
        <x:v>SRC-ROOM-20260903-D01-08</x:v>
      </x:c>
      <x:c r="H29" s="118"/>
      <x:c r="I29" s="118"/>
      <x:c r="J29" s="118"/>
      <x:c r="K29" s="118"/>
      <x:c r="L29" s="118"/>
      <x:c r="M29" s="120"/>
      <x:c r="N29" s="118"/>
      <x:c r="O29" s="121"/>
      <x:c r="P29" s="121"/>
      <x:c r="Q29" s="118"/>
      <x:c r="R29" s="118"/>
      <x:c r="S29" s="118"/>
      <x:c r="T29" s="118"/>
      <x:c r="U29" s="118" t="str">
        <x:v>OWNER</x:v>
      </x:c>
      <x:c r="V29" s="124" t="b">
        <x:v>1</x:v>
      </x:c>
      <x:c r="W29" s="118"/>
      <x:c r="X29" s="118" t="str">
        <x:v>2026-09-03</x:v>
      </x:c>
      <x:c r="Y29" s="118"/>
      <x:c r="Z29" s="118"/>
      <x:c r="AA29" s="118" t="str">
        <x:v>合格</x:v>
      </x:c>
      <x:c r="AB29" s="118" t="str">
        <x:v>通过字段、引用与批内重复校验</x:v>
      </x:c>
      <x:c r="AC29" s="122" t="str">
        <x:v>{"customerSourceId":"SRC-CUSTOMER-20260903-D01-08","assetSourceId":"SRC-ROOM-20260903-D01-08","relationType":"OWNER","primaryRelation":true,"startDate":"2026-09-03"}</x:v>
      </x:c>
    </x:row>
    <x:row r="30">
      <x:c r="A30" s="111" t="n">
        <x:v>27</x:v>
      </x:c>
      <x:c r="B30" s="9" t="str">
        <x:v>ASSET</x:v>
      </x:c>
      <x:c r="C30" s="9" t="str">
        <x:v>SRC-ROOM-20260903-D01-09</x:v>
      </x:c>
      <x:c r="D30" s="105"/>
      <x:c r="E30" s="105" t="str">
        <x:v>SRC-BUILDING-20260903-D01</x:v>
      </x:c>
      <x:c r="F30" s="105"/>
      <x:c r="G30" s="105"/>
      <x:c r="H30" s="9" t="str">
        <x:v>MIG-R-20260903-D01-09</x:v>
      </x:c>
      <x:c r="I30" s="9"/>
      <x:c r="J30" s="9" t="str">
        <x:v>交付验收房屋 09</x:v>
      </x:c>
      <x:c r="K30" s="9"/>
      <x:c r="L30" s="9" t="str">
        <x:v>ROOM</x:v>
      </x:c>
      <x:c r="M30" s="114"/>
      <x:c r="N30" s="9" t="str">
        <x:v>9</x:v>
      </x:c>
      <x:c r="O30" s="108" t="n">
        <x:v>89</x:v>
      </x:c>
      <x:c r="P30" s="108" t="n">
        <x:v>69</x:v>
      </x:c>
      <x:c r="Q30" s="9"/>
      <x:c r="R30" s="9"/>
      <x:c r="S30" s="9"/>
      <x:c r="T30" s="9"/>
      <x:c r="U30" s="9"/>
      <x:c r="V30" s="9"/>
      <x:c r="W30" s="9" t="str">
        <x:v>2026-09-03</x:v>
      </x:c>
      <x:c r="X30" s="9"/>
      <x:c r="Y30" s="9"/>
      <x:c r="Z30" s="9"/>
      <x:c r="AA30" s="9" t="str">
        <x:v>合格</x:v>
      </x:c>
      <x:c r="AB30" s="9" t="str">
        <x:v>通过字段、引用与批内重复校验</x:v>
      </x:c>
      <x:c r="AC30" s="95" t="str">
        <x:v>{"buildingSourceId":"SRC-BUILDING-20260903-D01","assetType":"ROOM","code":"MIG-R-20260903-D01-09","displayName":"交付验收房屋 09","floorNo":"9","buildingArea":89,"usableArea":69,"validFrom":"2026-09-03"}</x:v>
      </x:c>
    </x:row>
    <x:row r="31">
      <x:c r="A31" s="117" t="n">
        <x:v>28</x:v>
      </x:c>
      <x:c r="B31" s="118" t="str">
        <x:v>CUSTOMER</x:v>
      </x:c>
      <x:c r="C31" s="118" t="str">
        <x:v>SRC-CUSTOMER-20260903-D01-09</x:v>
      </x:c>
      <x:c r="D31" s="105"/>
      <x:c r="E31" s="105"/>
      <x:c r="F31" s="105"/>
      <x:c r="G31" s="105"/>
      <x:c r="H31" s="118"/>
      <x:c r="I31" s="118"/>
      <x:c r="J31" s="118" t="str">
        <x:v>交付验收客户 09</x:v>
      </x:c>
      <x:c r="K31" s="118"/>
      <x:c r="L31" s="118"/>
      <x:c r="M31" s="120"/>
      <x:c r="N31" s="118"/>
      <x:c r="O31" s="121"/>
      <x:c r="P31" s="121"/>
      <x:c r="Q31" s="118" t="str">
        <x:v>MIG-C-20260903-D01-09</x:v>
      </x:c>
      <x:c r="R31" s="118" t="str">
        <x:v>PERSON</x:v>
      </x:c>
      <x:c r="S31" s="118" t="str">
        <x:v>OWNER</x:v>
      </x:c>
      <x:c r="T31" s="118" t="str">
        <x:v>UNKNOWN</x:v>
      </x:c>
      <x:c r="U31" s="118"/>
      <x:c r="V31" s="118"/>
      <x:c r="W31" s="118"/>
      <x:c r="X31" s="118"/>
      <x:c r="Y31" s="118"/>
      <x:c r="Z31" s="118" t="str">
        <x:v>交付验收合成样本，不含真实个人信息</x:v>
      </x:c>
      <x:c r="AA31" s="118" t="str">
        <x:v>合格</x:v>
      </x:c>
      <x:c r="AB31" s="118" t="str">
        <x:v>通过字段、引用与批内重复校验</x:v>
      </x:c>
      <x:c r="AC31" s="122" t="str">
        <x:v>{"customerNo":"MIG-C-20260903-D01-09","displayName":"交付验收客户 09","customerType":"PERSON","customerClass":"OWNER","gender":"UNKNOWN","remarks":"交付验收合成样本，不含真实个人信息"}</x:v>
      </x:c>
    </x:row>
    <x:row r="32">
      <x:c r="A32" s="111" t="n">
        <x:v>29</x:v>
      </x:c>
      <x:c r="B32" s="9" t="str">
        <x:v>RELATION</x:v>
      </x:c>
      <x:c r="C32" s="9" t="str">
        <x:v>SRC-RELATION-20260903-D01-09</x:v>
      </x:c>
      <x:c r="D32" s="105"/>
      <x:c r="E32" s="105"/>
      <x:c r="F32" s="105" t="str">
        <x:v>SRC-CUSTOMER-20260903-D01-09</x:v>
      </x:c>
      <x:c r="G32" s="105" t="str">
        <x:v>SRC-ROOM-20260903-D01-09</x:v>
      </x:c>
      <x:c r="H32" s="9"/>
      <x:c r="I32" s="9"/>
      <x:c r="J32" s="9"/>
      <x:c r="K32" s="9"/>
      <x:c r="L32" s="9"/>
      <x:c r="M32" s="114"/>
      <x:c r="N32" s="9"/>
      <x:c r="O32" s="108"/>
      <x:c r="P32" s="108"/>
      <x:c r="Q32" s="9"/>
      <x:c r="R32" s="9"/>
      <x:c r="S32" s="9"/>
      <x:c r="T32" s="9"/>
      <x:c r="U32" s="9" t="str">
        <x:v>OWNER</x:v>
      </x:c>
      <x:c r="V32" s="96" t="b">
        <x:v>1</x:v>
      </x:c>
      <x:c r="W32" s="9"/>
      <x:c r="X32" s="9" t="str">
        <x:v>2026-09-03</x:v>
      </x:c>
      <x:c r="Y32" s="9"/>
      <x:c r="Z32" s="9"/>
      <x:c r="AA32" s="9" t="str">
        <x:v>合格</x:v>
      </x:c>
      <x:c r="AB32" s="9" t="str">
        <x:v>通过字段、引用与批内重复校验</x:v>
      </x:c>
      <x:c r="AC32" s="95" t="str">
        <x:v>{"customerSourceId":"SRC-CUSTOMER-20260903-D01-09","assetSourceId":"SRC-ROOM-20260903-D01-09","relationType":"OWNER","primaryRelation":true,"startDate":"2026-09-03"}</x:v>
      </x:c>
    </x:row>
    <x:row r="33">
      <x:c r="A33" s="117" t="n">
        <x:v>30</x:v>
      </x:c>
      <x:c r="B33" s="118" t="str">
        <x:v>ASSET</x:v>
      </x:c>
      <x:c r="C33" s="118" t="str">
        <x:v>SRC-ROOM-20260903-D01-10</x:v>
      </x:c>
      <x:c r="D33" s="105"/>
      <x:c r="E33" s="105" t="str">
        <x:v>SRC-BUILDING-20260903-D01</x:v>
      </x:c>
      <x:c r="F33" s="105"/>
      <x:c r="G33" s="105"/>
      <x:c r="H33" s="118" t="str">
        <x:v>MIG-R-20260903-D01-10</x:v>
      </x:c>
      <x:c r="I33" s="118"/>
      <x:c r="J33" s="118" t="str">
        <x:v>交付验收房屋 10</x:v>
      </x:c>
      <x:c r="K33" s="118"/>
      <x:c r="L33" s="118" t="str">
        <x:v>ROOM</x:v>
      </x:c>
      <x:c r="M33" s="120"/>
      <x:c r="N33" s="118" t="str">
        <x:v>10</x:v>
      </x:c>
      <x:c r="O33" s="121" t="n">
        <x:v>90</x:v>
      </x:c>
      <x:c r="P33" s="121" t="n">
        <x:v>70</x:v>
      </x:c>
      <x:c r="Q33" s="118"/>
      <x:c r="R33" s="118"/>
      <x:c r="S33" s="118"/>
      <x:c r="T33" s="118"/>
      <x:c r="U33" s="118"/>
      <x:c r="V33" s="118"/>
      <x:c r="W33" s="118" t="str">
        <x:v>2026-09-03</x:v>
      </x:c>
      <x:c r="X33" s="118"/>
      <x:c r="Y33" s="118"/>
      <x:c r="Z33" s="118"/>
      <x:c r="AA33" s="118" t="str">
        <x:v>合格</x:v>
      </x:c>
      <x:c r="AB33" s="118" t="str">
        <x:v>通过字段、引用与批内重复校验</x:v>
      </x:c>
      <x:c r="AC33" s="122" t="str">
        <x:v>{"buildingSourceId":"SRC-BUILDING-20260903-D01","assetType":"ROOM","code":"MIG-R-20260903-D01-10","displayName":"交付验收房屋 10","floorNo":"10","buildingArea":90,"usableArea":70,"validFrom":"2026-09-03"}</x:v>
      </x:c>
    </x:row>
    <x:row r="34">
      <x:c r="A34" s="111" t="n">
        <x:v>31</x:v>
      </x:c>
      <x:c r="B34" s="9" t="str">
        <x:v>CUSTOMER</x:v>
      </x:c>
      <x:c r="C34" s="9" t="str">
        <x:v>SRC-CUSTOMER-20260903-D01-10</x:v>
      </x:c>
      <x:c r="D34" s="105"/>
      <x:c r="E34" s="105"/>
      <x:c r="F34" s="105"/>
      <x:c r="G34" s="105"/>
      <x:c r="H34" s="9"/>
      <x:c r="I34" s="9"/>
      <x:c r="J34" s="9" t="str">
        <x:v>交付验收客户 10</x:v>
      </x:c>
      <x:c r="K34" s="9"/>
      <x:c r="L34" s="9"/>
      <x:c r="M34" s="114"/>
      <x:c r="N34" s="9"/>
      <x:c r="O34" s="108"/>
      <x:c r="P34" s="108"/>
      <x:c r="Q34" s="9" t="str">
        <x:v>MIG-C-20260903-D01-10</x:v>
      </x:c>
      <x:c r="R34" s="9" t="str">
        <x:v>PERSON</x:v>
      </x:c>
      <x:c r="S34" s="9" t="str">
        <x:v>OWNER</x:v>
      </x:c>
      <x:c r="T34" s="9" t="str">
        <x:v>UNKNOWN</x:v>
      </x:c>
      <x:c r="U34" s="9"/>
      <x:c r="V34" s="9"/>
      <x:c r="W34" s="9"/>
      <x:c r="X34" s="9"/>
      <x:c r="Y34" s="9"/>
      <x:c r="Z34" s="9" t="str">
        <x:v>交付验收合成样本，不含真实个人信息</x:v>
      </x:c>
      <x:c r="AA34" s="9" t="str">
        <x:v>合格</x:v>
      </x:c>
      <x:c r="AB34" s="9" t="str">
        <x:v>通过字段、引用与批内重复校验</x:v>
      </x:c>
      <x:c r="AC34" s="95" t="str">
        <x:v>{"customerNo":"MIG-C-20260903-D01-10","displayName":"交付验收客户 10","customerType":"PERSON","customerClass":"OWNER","gender":"UNKNOWN","remarks":"交付验收合成样本，不含真实个人信息"}</x:v>
      </x:c>
    </x:row>
    <x:row r="35">
      <x:c r="A35" s="117" t="n">
        <x:v>32</x:v>
      </x:c>
      <x:c r="B35" s="118" t="str">
        <x:v>RELATION</x:v>
      </x:c>
      <x:c r="C35" s="118" t="str">
        <x:v>SRC-RELATION-20260903-D01-10</x:v>
      </x:c>
      <x:c r="D35" s="105"/>
      <x:c r="E35" s="105"/>
      <x:c r="F35" s="105" t="str">
        <x:v>SRC-CUSTOMER-20260903-D01-10</x:v>
      </x:c>
      <x:c r="G35" s="105" t="str">
        <x:v>SRC-ROOM-20260903-D01-10</x:v>
      </x:c>
      <x:c r="H35" s="118"/>
      <x:c r="I35" s="118"/>
      <x:c r="J35" s="118"/>
      <x:c r="K35" s="118"/>
      <x:c r="L35" s="118"/>
      <x:c r="M35" s="120"/>
      <x:c r="N35" s="118"/>
      <x:c r="O35" s="121"/>
      <x:c r="P35" s="121"/>
      <x:c r="Q35" s="118"/>
      <x:c r="R35" s="118"/>
      <x:c r="S35" s="118"/>
      <x:c r="T35" s="118"/>
      <x:c r="U35" s="118" t="str">
        <x:v>OWNER</x:v>
      </x:c>
      <x:c r="V35" s="124" t="b">
        <x:v>1</x:v>
      </x:c>
      <x:c r="W35" s="118"/>
      <x:c r="X35" s="118" t="str">
        <x:v>2026-09-03</x:v>
      </x:c>
      <x:c r="Y35" s="118"/>
      <x:c r="Z35" s="118"/>
      <x:c r="AA35" s="118" t="str">
        <x:v>合格</x:v>
      </x:c>
      <x:c r="AB35" s="118" t="str">
        <x:v>通过字段、引用与批内重复校验</x:v>
      </x:c>
      <x:c r="AC35" s="122" t="str">
        <x:v>{"customerSourceId":"SRC-CUSTOMER-20260903-D01-10","assetSourceId":"SRC-ROOM-20260903-D01-10","relationType":"OWNER","primaryRelation":true,"startDate":"2026-09-03"}</x:v>
      </x:c>
    </x:row>
    <x:row r="36">
      <x:c r="A36" s="112" t="n">
        <x:v>33</x:v>
      </x:c>
      <x:c r="B36" s="98" t="str">
        <x:v>RELATION</x:v>
      </x:c>
      <x:c r="C36" s="98" t="str">
        <x:v>SRC-INVALID-20260903-D01</x:v>
      </x:c>
      <x:c r="D36" s="106"/>
      <x:c r="E36" s="106"/>
      <x:c r="F36" s="106" t="str">
        <x:v>SRC-MISSING-20260903-D01</x:v>
      </x:c>
      <x:c r="G36" s="106" t="str">
        <x:v>SRC-ROOM-20260903-D01-01</x:v>
      </x:c>
      <x:c r="H36" s="98"/>
      <x:c r="I36" s="98"/>
      <x:c r="J36" s="98"/>
      <x:c r="K36" s="98"/>
      <x:c r="L36" s="98"/>
      <x:c r="M36" s="115"/>
      <x:c r="N36" s="98"/>
      <x:c r="O36" s="109"/>
      <x:c r="P36" s="109"/>
      <x:c r="Q36" s="98"/>
      <x:c r="R36" s="98"/>
      <x:c r="S36" s="98"/>
      <x:c r="T36" s="98"/>
      <x:c r="U36" s="98" t="str">
        <x:v>OWNER</x:v>
      </x:c>
      <x:c r="V36" s="99" t="b">
        <x:v>1</x:v>
      </x:c>
      <x:c r="W36" s="98"/>
      <x:c r="X36" s="98" t="str">
        <x:v>2026-09-03</x:v>
      </x:c>
      <x:c r="Y36" s="98"/>
      <x:c r="Z36" s="98"/>
      <x:c r="AA36" s="98" t="str">
        <x:v>隔离</x:v>
      </x:c>
      <x:c r="AB36" s="98" t="str">
        <x:v>CUSTOMER 引用不存在：SRC-MISSING-20260903-D01</x:v>
      </x:c>
      <x:c r="AC36" s="100" t="str">
        <x:v>{"customerSourceId":"SRC-MISSING-20260903-D01","assetSourceId":"SRC-ROOM-20260903-D01-01","relationType":"OWNER","primaryRelation":true,"startDate":"2026-09-03"}</x:v>
      </x:c>
    </x:row>
  </x:sheetData>
  <x:mergeCells>
    <x:mergeCell ref="A1:AC1"/>
    <x:mergeCell ref="A2:AC2"/>
  </x:mergeCells>
  <x:conditionalFormatting sqref="AA4:AA36">
    <x:cfRule type="containsText" dxfId="0" priority="1" operator="containsText" text="隔离"/>
    <x:cfRule type="containsText" dxfId="1" priority="2" operator="containsText" text="合格"/>
  </x:conditionalFormatting>
  <x:dataValidations count="2">
    <x:dataValidation type="list" sqref="B4:B36">
      <x:formula1>"PROJECT,BUILDING,ASSET,CUSTOMER,RELATION"</x:formula1>
    </x:dataValidation>
    <x:dataValidation type="list" sqref="AA4:AA36">
      <x:formula1>"合格,隔离"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b4149888a148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32" hidden="0" customWidth="1"/>
    <x:col min="4" max="4" width="12" hidden="0" customWidth="1"/>
    <x:col min="5" max="5" width="12" hidden="0" customWidth="1"/>
    <x:col min="6" max="6" width="40" hidden="0" customWidth="1"/>
    <x:col min="7" max="7" width="44" hidden="0" customWidth="1"/>
    <x:col min="8" max="8" width="27" hidden="0" customWidth="1"/>
    <x:col min="9" max="9" width="38" hidden="0" customWidth="1"/>
  </x:cols>
  <x:sheetData>
    <x:row r="1" ht="30" customHeight="1">
      <x:c r="A1" s="4" t="str">
        <x:v>迁移中心 property-v1 字段字典</x:v>
      </x:c>
      <x:c r="B1" s="4" t="str">
        <x:v>迁移中心 property-v1 字段字典</x:v>
      </x:c>
      <x:c r="C1" s="4" t="str">
        <x:v>迁移中心 property-v1 字段字典</x:v>
      </x:c>
      <x:c r="D1" s="4" t="str">
        <x:v>迁移中心 property-v1 字段字典</x:v>
      </x:c>
      <x:c r="E1" s="4" t="str">
        <x:v>迁移中心 property-v1 字段字典</x:v>
      </x:c>
      <x:c r="F1" s="4" t="str">
        <x:v>迁移中心 property-v1 字段字典</x:v>
      </x:c>
      <x:c r="G1" s="4" t="str">
        <x:v>迁移中心 property-v1 字段字典</x:v>
      </x:c>
      <x:c r="H1" s="4" t="str">
        <x:v>迁移中心 property-v1 字段字典</x:v>
      </x:c>
      <x:c r="I1" s="4" t="str">
        <x:v>迁移中心 property-v1 字段字典</x:v>
      </x:c>
    </x:row>
    <x:row r="2">
      <x:c r="A2" s="7" t="str">
        <x:v>依据当前后端校验规则整理；首批白名单仅支持 PROJECT、BUILDING、ASSET(ROOM)、CUSTOMER、RELATION。</x:v>
      </x:c>
      <x:c r="B2" s="7" t="str">
        <x:v>依据当前后端校验规则整理；首批白名单仅支持 PROJECT、BUILDING、ASSET(ROOM)、CUSTOMER、RELATION。</x:v>
      </x:c>
      <x:c r="C2" s="7" t="str">
        <x:v>依据当前后端校验规则整理；首批白名单仅支持 PROJECT、BUILDING、ASSET(ROOM)、CUSTOMER、RELATION。</x:v>
      </x:c>
      <x:c r="D2" s="7" t="str">
        <x:v>依据当前后端校验规则整理；首批白名单仅支持 PROJECT、BUILDING、ASSET(ROOM)、CUSTOMER、RELATION。</x:v>
      </x:c>
      <x:c r="E2" s="7" t="str">
        <x:v>依据当前后端校验规则整理；首批白名单仅支持 PROJECT、BUILDING、ASSET(ROOM)、CUSTOMER、RELATION。</x:v>
      </x:c>
      <x:c r="F2" s="7" t="str">
        <x:v>依据当前后端校验规则整理；首批白名单仅支持 PROJECT、BUILDING、ASSET(ROOM)、CUSTOMER、RELATION。</x:v>
      </x:c>
      <x:c r="G2" s="7" t="str">
        <x:v>依据当前后端校验规则整理；首批白名单仅支持 PROJECT、BUILDING、ASSET(ROOM)、CUSTOMER、RELATION。</x:v>
      </x:c>
      <x:c r="H2" s="7" t="str">
        <x:v>依据当前后端校验规则整理；首批白名单仅支持 PROJECT、BUILDING、ASSET(ROOM)、CUSTOMER、RELATION。</x:v>
      </x:c>
      <x:c r="I2" s="7" t="str">
        <x:v>依据当前后端校验规则整理；首批白名单仅支持 PROJECT、BUILDING、ASSET(ROOM)、CUSTOMER、RELATION。</x:v>
      </x:c>
    </x:row>
    <x:row r="3" ht="26.399999618530273" hidden="0" customHeight="1">
      <x:c r="A3" s="26" t="str">
        <x:v>资源类型</x:v>
      </x:c>
      <x:c r="B3" s="27" t="str">
        <x:v>字段</x:v>
      </x:c>
      <x:c r="C3" s="27" t="str">
        <x:v>JSON 路径</x:v>
      </x:c>
      <x:c r="D3" s="27" t="str">
        <x:v>必填</x:v>
      </x:c>
      <x:c r="E3" s="27" t="str">
        <x:v>数据类型</x:v>
      </x:c>
      <x:c r="F3" s="27" t="str">
        <x:v>允许值/默认值</x:v>
      </x:c>
      <x:c r="G3" s="27" t="str">
        <x:v>校验规则</x:v>
      </x:c>
      <x:c r="H3" s="27" t="str">
        <x:v>样例</x:v>
      </x:c>
      <x:c r="I3" s="28" t="str">
        <x:v>说明</x:v>
      </x:c>
    </x:row>
    <x:row r="4" ht="79.19999694824219" hidden="0" customHeight="1">
      <x:c r="A4" s="46" t="str">
        <x:v>通用</x:v>
      </x:c>
      <x:c r="B4" s="47" t="str">
        <x:v>resourceType</x:v>
      </x:c>
      <x:c r="C4" s="47" t="str">
        <x:v>rows[].resourceType</x:v>
      </x:c>
      <x:c r="D4" s="47" t="str">
        <x:v>是</x:v>
      </x:c>
      <x:c r="E4" s="47" t="str">
        <x:v>枚举</x:v>
      </x:c>
      <x:c r="F4" s="47" t="str">
        <x:v>PROJECT/BUILDING/ASSET/CUSTOMER/RELATION</x:v>
      </x:c>
      <x:c r="G4" s="47" t="str">
        <x:v>严格大写白名单</x:v>
      </x:c>
      <x:c r="H4" s="47" t="str">
        <x:v>ASSET</x:v>
      </x:c>
      <x:c r="I4" s="48" t="str">
        <x:v>决定写入顺序和字段规则</x:v>
      </x:c>
    </x:row>
    <x:row r="5" ht="52.79999923706055" hidden="0" customHeight="1">
      <x:c r="A5" s="126" t="str">
        <x:v>通用</x:v>
      </x:c>
      <x:c r="B5" s="127" t="str">
        <x:v>sourceId</x:v>
      </x:c>
      <x:c r="C5" s="127" t="str">
        <x:v>rows[].sourceId</x:v>
      </x:c>
      <x:c r="D5" s="127" t="str">
        <x:v>是</x:v>
      </x:c>
      <x:c r="E5" s="127" t="str">
        <x:v>文本</x:v>
      </x:c>
      <x:c r="F5" s="127" t="str">
        <x:v>最长 120</x:v>
      </x:c>
      <x:c r="G5" s="127" t="str">
        <x:v>同资源类型内不得重复</x:v>
      </x:c>
      <x:c r="H5" s="127" t="str">
        <x:v>SRC-ROOM-...-01</x:v>
      </x:c>
      <x:c r="I5" s="128" t="str">
        <x:v>来源映射键，不是目标 UUID</x:v>
      </x:c>
    </x:row>
    <x:row r="6" ht="52.79999923706055" hidden="0" customHeight="1">
      <x:c r="A6" s="49" t="str">
        <x:v>PROJECT</x:v>
      </x:c>
      <x:c r="B6" s="50" t="str">
        <x:v>name</x:v>
      </x:c>
      <x:c r="C6" s="50" t="str">
        <x:v>rows[].data.name</x:v>
      </x:c>
      <x:c r="D6" s="50" t="str">
        <x:v>否</x:v>
      </x:c>
      <x:c r="E6" s="50" t="str">
        <x:v>文本</x:v>
      </x:c>
      <x:c r="F6" s="50" t="str">
        <x:v>默认：迁移项目</x:v>
      </x:c>
      <x:c r="G6" s="50" t="str">
        <x:v>映射到当前所选 communityId</x:v>
      </x:c>
      <x:c r="H6" s="50" t="str">
        <x:v>交付验收项目</x:v>
      </x:c>
      <x:c r="I6" s="51" t="str">
        <x:v>项目行不新建项目，只建立映射</x:v>
      </x:c>
    </x:row>
    <x:row r="7" ht="39.599998474121094" hidden="0" customHeight="1">
      <x:c r="A7" s="126" t="str">
        <x:v>BUILDING</x:v>
      </x:c>
      <x:c r="B7" s="127" t="str">
        <x:v>projectSourceId</x:v>
      </x:c>
      <x:c r="C7" s="127" t="str">
        <x:v>rows[].data.projectSourceId</x:v>
      </x:c>
      <x:c r="D7" s="127" t="str">
        <x:v>是</x:v>
      </x:c>
      <x:c r="E7" s="127" t="str">
        <x:v>文本</x:v>
      </x:c>
      <x:c r="F7" s="127" t="str">
        <x:v>—</x:v>
      </x:c>
      <x:c r="G7" s="127" t="str">
        <x:v>必须引用本批合格 PROJECT</x:v>
      </x:c>
      <x:c r="H7" s="127" t="str">
        <x:v>SRC-PROJECT-...</x:v>
      </x:c>
      <x:c r="I7" s="128" t="str">
        <x:v>跨资源引用</x:v>
      </x:c>
    </x:row>
    <x:row r="8" ht="39.599998474121094" hidden="0" customHeight="1">
      <x:c r="A8" s="49" t="str">
        <x:v>BUILDING</x:v>
      </x:c>
      <x:c r="B8" s="50" t="str">
        <x:v>code</x:v>
      </x:c>
      <x:c r="C8" s="50" t="str">
        <x:v>rows[].data.code</x:v>
      </x:c>
      <x:c r="D8" s="50" t="str">
        <x:v>是</x:v>
      </x:c>
      <x:c r="E8" s="50" t="str">
        <x:v>文本</x:v>
      </x:c>
      <x:c r="F8" s="50" t="str">
        <x:v>—</x:v>
      </x:c>
      <x:c r="G8" s="50" t="str">
        <x:v>项目内生产编码不得已存在</x:v>
      </x:c>
      <x:c r="H8" s="50" t="str">
        <x:v>MIG-B-...</x:v>
      </x:c>
      <x:c r="I8" s="51" t="str">
        <x:v>楼栋编码</x:v>
      </x:c>
    </x:row>
    <x:row r="9" ht="26.399999618530273" hidden="0" customHeight="1">
      <x:c r="A9" s="126" t="str">
        <x:v>BUILDING</x:v>
      </x:c>
      <x:c r="B9" s="127" t="str">
        <x:v>name</x:v>
      </x:c>
      <x:c r="C9" s="127" t="str">
        <x:v>rows[].data.name</x:v>
      </x:c>
      <x:c r="D9" s="127" t="str">
        <x:v>是</x:v>
      </x:c>
      <x:c r="E9" s="127" t="str">
        <x:v>文本</x:v>
      </x:c>
      <x:c r="F9" s="127" t="str">
        <x:v>—</x:v>
      </x:c>
      <x:c r="G9" s="127" t="str">
        <x:v>非空</x:v>
      </x:c>
      <x:c r="H9" s="127" t="str">
        <x:v>交付验收楼栋</x:v>
      </x:c>
      <x:c r="I9" s="128" t="str">
        <x:v>楼栋名称</x:v>
      </x:c>
    </x:row>
    <x:row r="10" ht="92.4000015258789" hidden="0" customHeight="1">
      <x:c r="A10" s="49" t="str">
        <x:v>BUILDING</x:v>
      </x:c>
      <x:c r="B10" s="50" t="str">
        <x:v>buildingType</x:v>
      </x:c>
      <x:c r="C10" s="50" t="str">
        <x:v>rows[].data.buildingType</x:v>
      </x:c>
      <x:c r="D10" s="50" t="str">
        <x:v>否</x:v>
      </x:c>
      <x:c r="E10" s="50" t="str">
        <x:v>枚举</x:v>
      </x:c>
      <x:c r="F10" s="50" t="str">
        <x:v>RESIDENTIAL/COMMERCIAL/MIXED；默认 RESIDENTIAL</x:v>
      </x:c>
      <x:c r="G10" s="50" t="str">
        <x:v>其他值隔离</x:v>
      </x:c>
      <x:c r="H10" s="50" t="str">
        <x:v>RESIDENTIAL</x:v>
      </x:c>
      <x:c r="I10" s="51" t="str">
        <x:v>楼栋类型</x:v>
      </x:c>
    </x:row>
    <x:row r="11" ht="39.599998474121094" hidden="0" customHeight="1">
      <x:c r="A11" s="126" t="str">
        <x:v>BUILDING</x:v>
      </x:c>
      <x:c r="B11" s="127" t="str">
        <x:v>floorCount</x:v>
      </x:c>
      <x:c r="C11" s="127" t="str">
        <x:v>rows[].data.floorCount</x:v>
      </x:c>
      <x:c r="D11" s="127" t="str">
        <x:v>否</x:v>
      </x:c>
      <x:c r="E11" s="127" t="str">
        <x:v>整数</x:v>
      </x:c>
      <x:c r="F11" s="127" t="str">
        <x:v>&gt;=0</x:v>
      </x:c>
      <x:c r="G11" s="127" t="str">
        <x:v>负数或非整数隔离</x:v>
      </x:c>
      <x:c r="H11" s="127" t="str">
        <x:v>10</x:v>
      </x:c>
      <x:c r="I11" s="128" t="str">
        <x:v>楼层数</x:v>
      </x:c>
    </x:row>
    <x:row r="12" ht="39.599998474121094" hidden="0" customHeight="1">
      <x:c r="A12" s="49" t="str">
        <x:v>ASSET</x:v>
      </x:c>
      <x:c r="B12" s="50" t="str">
        <x:v>buildingSourceId</x:v>
      </x:c>
      <x:c r="C12" s="50" t="str">
        <x:v>rows[].data.buildingSourceId</x:v>
      </x:c>
      <x:c r="D12" s="50" t="str">
        <x:v>是</x:v>
      </x:c>
      <x:c r="E12" s="50" t="str">
        <x:v>文本</x:v>
      </x:c>
      <x:c r="F12" s="50" t="str">
        <x:v>—</x:v>
      </x:c>
      <x:c r="G12" s="50" t="str">
        <x:v>必须引用本批合格 BUILDING</x:v>
      </x:c>
      <x:c r="H12" s="50" t="str">
        <x:v>SRC-BUILDING-...</x:v>
      </x:c>
      <x:c r="I12" s="51" t="str">
        <x:v>跨资源引用</x:v>
      </x:c>
    </x:row>
    <x:row r="13" ht="52.79999923706055" hidden="0" customHeight="1">
      <x:c r="A13" s="126" t="str">
        <x:v>ASSET</x:v>
      </x:c>
      <x:c r="B13" s="127" t="str">
        <x:v>assetType</x:v>
      </x:c>
      <x:c r="C13" s="127" t="str">
        <x:v>rows[].data.assetType</x:v>
      </x:c>
      <x:c r="D13" s="127" t="str">
        <x:v>否</x:v>
      </x:c>
      <x:c r="E13" s="127" t="str">
        <x:v>枚举</x:v>
      </x:c>
      <x:c r="F13" s="127" t="str">
        <x:v>仅 ROOM；默认 ROOM</x:v>
      </x:c>
      <x:c r="G13" s="127" t="str">
        <x:v>非 ROOM 隔离</x:v>
      </x:c>
      <x:c r="H13" s="127" t="str">
        <x:v>ROOM</x:v>
      </x:c>
      <x:c r="I13" s="128" t="str">
        <x:v>首批只支持房屋</x:v>
      </x:c>
    </x:row>
    <x:row r="14" ht="52.79999923706055" hidden="0" customHeight="1">
      <x:c r="A14" s="49" t="str">
        <x:v>ASSET</x:v>
      </x:c>
      <x:c r="B14" s="50" t="str">
        <x:v>code</x:v>
      </x:c>
      <x:c r="C14" s="50" t="str">
        <x:v>rows[].data.code</x:v>
      </x:c>
      <x:c r="D14" s="50" t="str">
        <x:v>是</x:v>
      </x:c>
      <x:c r="E14" s="50" t="str">
        <x:v>文本</x:v>
      </x:c>
      <x:c r="F14" s="50" t="str">
        <x:v>—</x:v>
      </x:c>
      <x:c r="G14" s="50" t="str">
        <x:v>项目内 ROOM 编码不得已存在</x:v>
      </x:c>
      <x:c r="H14" s="50" t="str">
        <x:v>MIG-R-...-01</x:v>
      </x:c>
      <x:c r="I14" s="51" t="str">
        <x:v>房屋编码</x:v>
      </x:c>
    </x:row>
    <x:row r="15" ht="39.599998474121094" hidden="0" customHeight="1">
      <x:c r="A15" s="126" t="str">
        <x:v>ASSET</x:v>
      </x:c>
      <x:c r="B15" s="127" t="str">
        <x:v>displayName</x:v>
      </x:c>
      <x:c r="C15" s="127" t="str">
        <x:v>rows[].data.displayName</x:v>
      </x:c>
      <x:c r="D15" s="127" t="str">
        <x:v>是</x:v>
      </x:c>
      <x:c r="E15" s="127" t="str">
        <x:v>文本</x:v>
      </x:c>
      <x:c r="F15" s="127" t="str">
        <x:v>—</x:v>
      </x:c>
      <x:c r="G15" s="127" t="str">
        <x:v>非空</x:v>
      </x:c>
      <x:c r="H15" s="127" t="str">
        <x:v>交付验收房屋 01</x:v>
      </x:c>
      <x:c r="I15" s="128" t="str">
        <x:v>显示名称</x:v>
      </x:c>
    </x:row>
    <x:row r="16" ht="26.399999618530273" hidden="0" customHeight="1">
      <x:c r="A16" s="49" t="str">
        <x:v>ASSET</x:v>
      </x:c>
      <x:c r="B16" s="50" t="str">
        <x:v>floorNo</x:v>
      </x:c>
      <x:c r="C16" s="50" t="str">
        <x:v>rows[].data.floorNo</x:v>
      </x:c>
      <x:c r="D16" s="50" t="str">
        <x:v>否</x:v>
      </x:c>
      <x:c r="E16" s="50" t="str">
        <x:v>文本</x:v>
      </x:c>
      <x:c r="F16" s="50" t="str">
        <x:v>—</x:v>
      </x:c>
      <x:c r="G16" s="50" t="str">
        <x:v>—</x:v>
      </x:c>
      <x:c r="H16" s="50" t="str">
        <x:v>1</x:v>
      </x:c>
      <x:c r="I16" s="51" t="str">
        <x:v>楼层号</x:v>
      </x:c>
    </x:row>
    <x:row r="17" ht="52.79999923706055" hidden="0" customHeight="1">
      <x:c r="A17" s="126" t="str">
        <x:v>ASSET</x:v>
      </x:c>
      <x:c r="B17" s="127" t="str">
        <x:v>buildingArea</x:v>
      </x:c>
      <x:c r="C17" s="127" t="str">
        <x:v>rows[].data.buildingArea</x:v>
      </x:c>
      <x:c r="D17" s="127" t="str">
        <x:v>是</x:v>
      </x:c>
      <x:c r="E17" s="127" t="str">
        <x:v>数字</x:v>
      </x:c>
      <x:c r="F17" s="127" t="str">
        <x:v>&gt;=0</x:v>
      </x:c>
      <x:c r="G17" s="127" t="str">
        <x:v>不能为空、非数字或负数隔离</x:v>
      </x:c>
      <x:c r="H17" s="127" t="str">
        <x:v>81</x:v>
      </x:c>
      <x:c r="I17" s="128" t="str">
        <x:v>建筑面积</x:v>
      </x:c>
    </x:row>
    <x:row r="18" ht="39.599998474121094" hidden="0" customHeight="1">
      <x:c r="A18" s="49" t="str">
        <x:v>ASSET</x:v>
      </x:c>
      <x:c r="B18" s="50" t="str">
        <x:v>usableArea</x:v>
      </x:c>
      <x:c r="C18" s="50" t="str">
        <x:v>rows[].data.usableArea</x:v>
      </x:c>
      <x:c r="D18" s="50" t="str">
        <x:v>是</x:v>
      </x:c>
      <x:c r="E18" s="50" t="str">
        <x:v>数字</x:v>
      </x:c>
      <x:c r="F18" s="50" t="str">
        <x:v>0..buildingArea</x:v>
      </x:c>
      <x:c r="G18" s="50" t="str">
        <x:v>大于建筑面积时隔离</x:v>
      </x:c>
      <x:c r="H18" s="50" t="str">
        <x:v>61</x:v>
      </x:c>
      <x:c r="I18" s="51" t="str">
        <x:v>可用面积</x:v>
      </x:c>
    </x:row>
    <x:row r="19" ht="39.599998474121094" hidden="0" customHeight="1">
      <x:c r="A19" s="126" t="str">
        <x:v>ASSET</x:v>
      </x:c>
      <x:c r="B19" s="127" t="str">
        <x:v>validFrom</x:v>
      </x:c>
      <x:c r="C19" s="127" t="str">
        <x:v>rows[].data.validFrom</x:v>
      </x:c>
      <x:c r="D19" s="127" t="str">
        <x:v>是</x:v>
      </x:c>
      <x:c r="E19" s="127" t="str">
        <x:v>日期文本</x:v>
      </x:c>
      <x:c r="F19" s="127" t="str">
        <x:v>yyyy-MM-dd</x:v>
      </x:c>
      <x:c r="G19" s="127" t="str">
        <x:v>格式错误隔离</x:v>
      </x:c>
      <x:c r="H19" s="127" t="str">
        <x:v>2026-09-03</x:v>
      </x:c>
      <x:c r="I19" s="128" t="str">
        <x:v>生效日期</x:v>
      </x:c>
    </x:row>
    <x:row r="20" ht="39.599998474121094" hidden="0" customHeight="1">
      <x:c r="A20" s="49" t="str">
        <x:v>CUSTOMER</x:v>
      </x:c>
      <x:c r="B20" s="50" t="str">
        <x:v>customerNo</x:v>
      </x:c>
      <x:c r="C20" s="50" t="str">
        <x:v>rows[].data.customerNo</x:v>
      </x:c>
      <x:c r="D20" s="50" t="str">
        <x:v>是</x:v>
      </x:c>
      <x:c r="E20" s="50" t="str">
        <x:v>文本</x:v>
      </x:c>
      <x:c r="F20" s="50" t="str">
        <x:v>—</x:v>
      </x:c>
      <x:c r="G20" s="50" t="str">
        <x:v>项目内生产编号不得已存在</x:v>
      </x:c>
      <x:c r="H20" s="50" t="str">
        <x:v>MIG-C-...-01</x:v>
      </x:c>
      <x:c r="I20" s="51" t="str">
        <x:v>客户编号</x:v>
      </x:c>
    </x:row>
    <x:row r="21" ht="39.599998474121094" hidden="0" customHeight="1">
      <x:c r="A21" s="126" t="str">
        <x:v>CUSTOMER</x:v>
      </x:c>
      <x:c r="B21" s="127" t="str">
        <x:v>displayName</x:v>
      </x:c>
      <x:c r="C21" s="127" t="str">
        <x:v>rows[].data.displayName</x:v>
      </x:c>
      <x:c r="D21" s="127" t="str">
        <x:v>是</x:v>
      </x:c>
      <x:c r="E21" s="127" t="str">
        <x:v>文本</x:v>
      </x:c>
      <x:c r="F21" s="127" t="str">
        <x:v>—</x:v>
      </x:c>
      <x:c r="G21" s="127" t="str">
        <x:v>非空</x:v>
      </x:c>
      <x:c r="H21" s="127" t="str">
        <x:v>交付验收客户 01</x:v>
      </x:c>
      <x:c r="I21" s="128" t="str">
        <x:v>本样例为合成姓名</x:v>
      </x:c>
    </x:row>
    <x:row r="22" ht="66" hidden="0" customHeight="1">
      <x:c r="A22" s="49" t="str">
        <x:v>CUSTOMER</x:v>
      </x:c>
      <x:c r="B22" s="50" t="str">
        <x:v>customerType</x:v>
      </x:c>
      <x:c r="C22" s="50" t="str">
        <x:v>rows[].data.customerType</x:v>
      </x:c>
      <x:c r="D22" s="50" t="str">
        <x:v>否</x:v>
      </x:c>
      <x:c r="E22" s="50" t="str">
        <x:v>枚举</x:v>
      </x:c>
      <x:c r="F22" s="50" t="str">
        <x:v>PERSON/ORGANIZATION；默认 PERSON</x:v>
      </x:c>
      <x:c r="G22" s="50" t="str">
        <x:v>其他值隔离</x:v>
      </x:c>
      <x:c r="H22" s="50" t="str">
        <x:v>PERSON</x:v>
      </x:c>
      <x:c r="I22" s="51" t="str">
        <x:v>客户类型</x:v>
      </x:c>
    </x:row>
    <x:row r="23" ht="39.599998474121094" hidden="0" customHeight="1">
      <x:c r="A23" s="126" t="str">
        <x:v>CUSTOMER</x:v>
      </x:c>
      <x:c r="B23" s="127" t="str">
        <x:v>customerClass</x:v>
      </x:c>
      <x:c r="C23" s="127" t="str">
        <x:v>rows[].data.customerClass</x:v>
      </x:c>
      <x:c r="D23" s="127" t="str">
        <x:v>否</x:v>
      </x:c>
      <x:c r="E23" s="127" t="str">
        <x:v>文本</x:v>
      </x:c>
      <x:c r="F23" s="127" t="str">
        <x:v>—</x:v>
      </x:c>
      <x:c r="G23" s="127" t="str">
        <x:v>—</x:v>
      </x:c>
      <x:c r="H23" s="127" t="str">
        <x:v>OWNER</x:v>
      </x:c>
      <x:c r="I23" s="128" t="str">
        <x:v>客户分类</x:v>
      </x:c>
    </x:row>
    <x:row r="24" ht="39.599998474121094" hidden="0" customHeight="1">
      <x:c r="A24" s="49" t="str">
        <x:v>CUSTOMER</x:v>
      </x:c>
      <x:c r="B24" s="50" t="str">
        <x:v>mobileMasked</x:v>
      </x:c>
      <x:c r="C24" s="50" t="str">
        <x:v>rows[].data.mobileMasked</x:v>
      </x:c>
      <x:c r="D24" s="50" t="str">
        <x:v>否</x:v>
      </x:c>
      <x:c r="E24" s="50" t="str">
        <x:v>文本</x:v>
      </x:c>
      <x:c r="F24" s="50" t="str">
        <x:v>应为脱敏值</x:v>
      </x:c>
      <x:c r="G24" s="50" t="str">
        <x:v>不接收明文手机号字段</x:v>
      </x:c>
      <x:c r="H24" s="50" t="str">
        <x:v>138****0001</x:v>
      </x:c>
      <x:c r="I24" s="51" t="str">
        <x:v>本样例留空</x:v>
      </x:c>
    </x:row>
    <x:row r="25" ht="39.599998474121094" hidden="0" customHeight="1">
      <x:c r="A25" s="126" t="str">
        <x:v>CUSTOMER</x:v>
      </x:c>
      <x:c r="B25" s="127" t="str">
        <x:v>gender</x:v>
      </x:c>
      <x:c r="C25" s="127" t="str">
        <x:v>rows[].data.gender</x:v>
      </x:c>
      <x:c r="D25" s="127" t="str">
        <x:v>否</x:v>
      </x:c>
      <x:c r="E25" s="127" t="str">
        <x:v>文本</x:v>
      </x:c>
      <x:c r="F25" s="127" t="str">
        <x:v>默认 UNKNOWN</x:v>
      </x:c>
      <x:c r="G25" s="127" t="str">
        <x:v>规范化为大写</x:v>
      </x:c>
      <x:c r="H25" s="127" t="str">
        <x:v>UNKNOWN</x:v>
      </x:c>
      <x:c r="I25" s="128" t="str">
        <x:v>性别</x:v>
      </x:c>
    </x:row>
    <x:row r="26" ht="26.399999618530273" hidden="0" customHeight="1">
      <x:c r="A26" s="49" t="str">
        <x:v>CUSTOMER</x:v>
      </x:c>
      <x:c r="B26" s="50" t="str">
        <x:v>remarks</x:v>
      </x:c>
      <x:c r="C26" s="50" t="str">
        <x:v>rows[].data.remarks</x:v>
      </x:c>
      <x:c r="D26" s="50" t="str">
        <x:v>否</x:v>
      </x:c>
      <x:c r="E26" s="50" t="str">
        <x:v>文本</x:v>
      </x:c>
      <x:c r="F26" s="50" t="str">
        <x:v>—</x:v>
      </x:c>
      <x:c r="G26" s="50" t="str">
        <x:v>—</x:v>
      </x:c>
      <x:c r="H26" s="50" t="str">
        <x:v>交付验收合成样本</x:v>
      </x:c>
      <x:c r="I26" s="51" t="str">
        <x:v>备注</x:v>
      </x:c>
    </x:row>
    <x:row r="27" ht="52.79999923706055" hidden="0" customHeight="1">
      <x:c r="A27" s="126" t="str">
        <x:v>RELATION</x:v>
      </x:c>
      <x:c r="B27" s="127" t="str">
        <x:v>customerSourceId</x:v>
      </x:c>
      <x:c r="C27" s="127" t="str">
        <x:v>rows[].data.customerSourceId</x:v>
      </x:c>
      <x:c r="D27" s="127" t="str">
        <x:v>是</x:v>
      </x:c>
      <x:c r="E27" s="127" t="str">
        <x:v>文本</x:v>
      </x:c>
      <x:c r="F27" s="127" t="str">
        <x:v>—</x:v>
      </x:c>
      <x:c r="G27" s="127" t="str">
        <x:v>必须引用本批合格 CUSTOMER</x:v>
      </x:c>
      <x:c r="H27" s="127" t="str">
        <x:v>SRC-CUSTOMER-...-01</x:v>
      </x:c>
      <x:c r="I27" s="128" t="str">
        <x:v>故意错误行在此引用缺失客户</x:v>
      </x:c>
    </x:row>
    <x:row r="28" ht="39.599998474121094" hidden="0" customHeight="1">
      <x:c r="A28" s="49" t="str">
        <x:v>RELATION</x:v>
      </x:c>
      <x:c r="B28" s="50" t="str">
        <x:v>assetSourceId</x:v>
      </x:c>
      <x:c r="C28" s="50" t="str">
        <x:v>rows[].data.assetSourceId</x:v>
      </x:c>
      <x:c r="D28" s="50" t="str">
        <x:v>是</x:v>
      </x:c>
      <x:c r="E28" s="50" t="str">
        <x:v>文本</x:v>
      </x:c>
      <x:c r="F28" s="50" t="str">
        <x:v>—</x:v>
      </x:c>
      <x:c r="G28" s="50" t="str">
        <x:v>必须引用本批合格 ASSET</x:v>
      </x:c>
      <x:c r="H28" s="50" t="str">
        <x:v>SRC-ROOM-...-01</x:v>
      </x:c>
      <x:c r="I28" s="51" t="str">
        <x:v>跨资源引用</x:v>
      </x:c>
    </x:row>
    <x:row r="29" ht="79.19999694824219" hidden="0" customHeight="1">
      <x:c r="A29" s="126" t="str">
        <x:v>RELATION</x:v>
      </x:c>
      <x:c r="B29" s="127" t="str">
        <x:v>relationType</x:v>
      </x:c>
      <x:c r="C29" s="127" t="str">
        <x:v>rows[].data.relationType</x:v>
      </x:c>
      <x:c r="D29" s="127" t="str">
        <x:v>否</x:v>
      </x:c>
      <x:c r="E29" s="127" t="str">
        <x:v>枚举</x:v>
      </x:c>
      <x:c r="F29" s="127" t="str">
        <x:v>OWNER/CO_OWNER/TENANT/OCCUPANT；默认 OWNER</x:v>
      </x:c>
      <x:c r="G29" s="127" t="str">
        <x:v>其他值隔离</x:v>
      </x:c>
      <x:c r="H29" s="127" t="str">
        <x:v>OWNER</x:v>
      </x:c>
      <x:c r="I29" s="128" t="str">
        <x:v>同客户+资产+类型不可批内重复</x:v>
      </x:c>
    </x:row>
    <x:row r="30" ht="39.599998474121094" hidden="0" customHeight="1">
      <x:c r="A30" s="49" t="str">
        <x:v>RELATION</x:v>
      </x:c>
      <x:c r="B30" s="50" t="str">
        <x:v>primaryRelation</x:v>
      </x:c>
      <x:c r="C30" s="50" t="str">
        <x:v>rows[].data.primaryRelation</x:v>
      </x:c>
      <x:c r="D30" s="50" t="str">
        <x:v>否</x:v>
      </x:c>
      <x:c r="E30" s="50" t="str">
        <x:v>布尔</x:v>
      </x:c>
      <x:c r="F30" s="50" t="str">
        <x:v>默认 true</x:v>
      </x:c>
      <x:c r="G30" s="50" t="str">
        <x:v>true/false</x:v>
      </x:c>
      <x:c r="H30" s="50" t="str">
        <x:v>true</x:v>
      </x:c>
      <x:c r="I30" s="51" t="str">
        <x:v>主关系标记</x:v>
      </x:c>
    </x:row>
    <x:row r="31" ht="39.599998474121094" hidden="0" customHeight="1">
      <x:c r="A31" s="129" t="str">
        <x:v>RELATION</x:v>
      </x:c>
      <x:c r="B31" s="130" t="str">
        <x:v>startDate</x:v>
      </x:c>
      <x:c r="C31" s="130" t="str">
        <x:v>rows[].data.startDate</x:v>
      </x:c>
      <x:c r="D31" s="130" t="str">
        <x:v>是</x:v>
      </x:c>
      <x:c r="E31" s="130" t="str">
        <x:v>日期文本</x:v>
      </x:c>
      <x:c r="F31" s="130" t="str">
        <x:v>yyyy-MM-dd</x:v>
      </x:c>
      <x:c r="G31" s="130" t="str">
        <x:v>格式错误隔离</x:v>
      </x:c>
      <x:c r="H31" s="130" t="str">
        <x:v>2026-09-03</x:v>
      </x:c>
      <x:c r="I31" s="131" t="str">
        <x:v>关系开始日</x:v>
      </x:c>
    </x:row>
  </x:sheetData>
  <x:mergeCells>
    <x:mergeCell ref="A1:I1"/>
    <x:mergeCell ref="A2:I2"/>
  </x:mergeCells>
  <x:conditionalFormatting sqref="D4:D31">
    <x:cfRule type="containsText" dxfId="2" priority="1" operator="containsText" text="是"/>
  </x:conditionalFormatting>
  <x:pageMargins left="0.7" right="0.7" top="0.75" bottom="0.75" header="0.3" footer="0.3"/>
  <x:tableParts count="1">
    <x:tablePart xmlns:r="http://schemas.openxmlformats.org/officeDocument/2006/relationships" r:id="R5f221aaa3e534b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40" hidden="0" customWidth="1"/>
    <x:col min="4" max="4" width="26" hidden="0" customWidth="1"/>
    <x:col min="5" max="5" width="50" hidden="0" customWidth="1"/>
  </x:cols>
  <x:sheetData>
    <x:row r="1" ht="30" customHeight="1">
      <x:c r="A1" s="4" t="str">
        <x:v>完整迁移生命周期验收预期</x:v>
      </x:c>
      <x:c r="B1" s="4" t="str">
        <x:v>完整迁移生命周期验收预期</x:v>
      </x:c>
      <x:c r="C1" s="4" t="str">
        <x:v>完整迁移生命周期验收预期</x:v>
      </x:c>
      <x:c r="D1" s="4" t="str">
        <x:v>完整迁移生命周期验收预期</x:v>
      </x:c>
      <x:c r="E1" s="4" t="str">
        <x:v>完整迁移生命周期验收预期</x:v>
      </x:c>
    </x:row>
    <x:row r="2">
      <x:c r="A2" s="1"/>
      <x:c r="B2" s="1"/>
      <x:c r="C2" s="1"/>
      <x:c r="D2" s="1"/>
      <x:c r="E2" s="1"/>
    </x:row>
    <x:row r="3" ht="26.399999618530273" hidden="0" customHeight="1">
      <x:c r="A3" s="26" t="str">
        <x:v>阶段/指标</x:v>
      </x:c>
      <x:c r="B3" s="27" t="str">
        <x:v>预期值</x:v>
      </x:c>
      <x:c r="C3" s="27" t="str">
        <x:v>通过标准</x:v>
      </x:c>
      <x:c r="D3" s="27" t="str">
        <x:v>对应动作</x:v>
      </x:c>
      <x:c r="E3" s="28" t="str">
        <x:v>失败时先检查</x:v>
      </x:c>
    </x:row>
    <x:row r="4" ht="52.79999923706055" hidden="0" customHeight="1">
      <x:c r="A4" s="46" t="str">
        <x:v>Raw</x:v>
      </x:c>
      <x:c r="B4" s="132" t="n">
        <x:v>33</x:v>
      </x:c>
      <x:c r="C4" s="47" t="str">
        <x:v>总来源行完整保存</x:v>
      </x:c>
      <x:c r="D4" s="47" t="str">
        <x:v>写入 Raw 层</x:v>
      </x:c>
      <x:c r="E4" s="48" t="str">
        <x:v>JSON 顶层 rows 是否为数组</x:v>
      </x:c>
    </x:row>
    <x:row r="5" ht="92.4000015258789" hidden="0" customHeight="1">
      <x:c r="A5" s="126" t="str">
        <x:v>Quarantine</x:v>
      </x:c>
      <x:c r="B5" s="135" t="n">
        <x:v>1</x:v>
      </x:c>
      <x:c r="C5" s="127" t="str">
        <x:v>仅 SRC-INVALID-20260903-D01 隔离</x:v>
      </x:c>
      <x:c r="D5" s="127" t="str">
        <x:v>执行校验</x:v>
      </x:c>
      <x:c r="E5" s="128" t="str">
        <x:v>缺失 CUSTOMER 引用是否仍为 SRC-MISSING...</x:v>
      </x:c>
    </x:row>
    <x:row r="6" ht="66" hidden="0" customHeight="1">
      <x:c r="A6" s="49" t="str">
        <x:v>Canonical</x:v>
      </x:c>
      <x:c r="B6" s="133" t="n">
        <x:v>32</x:v>
      </x:c>
      <x:c r="C6" s="50" t="str">
        <x:v>其余来源行完成规范化</x:v>
      </x:c>
      <x:c r="D6" s="50" t="str">
        <x:v>执行校验</x:v>
      </x:c>
      <x:c r="E6" s="51" t="str">
        <x:v>资源类型、必填字段、引用和编码冲突</x:v>
      </x:c>
    </x:row>
    <x:row r="7" ht="39.599998474121094" hidden="0" customHeight="1">
      <x:c r="A7" s="126" t="str">
        <x:v>Staging</x:v>
      </x:c>
      <x:c r="B7" s="135" t="n">
        <x:v>32</x:v>
      </x:c>
      <x:c r="C7" s="127" t="str">
        <x:v>仅合格行进入暂存</x:v>
      </x:c>
      <x:c r="D7" s="127" t="str">
        <x:v>执行校验</x:v>
      </x:c>
      <x:c r="E7" s="128" t="str">
        <x:v>隔离行不得进入暂存</x:v>
      </x:c>
    </x:row>
    <x:row r="8" ht="52.79999923706055" hidden="0" customHeight="1">
      <x:c r="A8" s="49" t="str">
        <x:v>Production 写入</x:v>
      </x:c>
      <x:c r="B8" s="133" t="n">
        <x:v>31</x:v>
      </x:c>
      <x:c r="C8" s="50" t="str">
        <x:v>1 楼栋 + 10 房屋 + 10 客户 + 10 关系</x:v>
      </x:c>
      <x:c r="D8" s="50" t="str">
        <x:v>审批 → 写入生产层</x:v>
      </x:c>
      <x:c r="E8" s="51" t="str">
        <x:v>项目行只映射不新建，所以跳过 1</x:v>
      </x:c>
    </x:row>
    <x:row r="9" ht="39.599998474121094" hidden="0" customHeight="1">
      <x:c r="A9" s="126" t="str">
        <x:v>项目映射跳过</x:v>
      </x:c>
      <x:c r="B9" s="135" t="n">
        <x:v>1</x:v>
      </x:c>
      <x:c r="C9" s="127" t="str">
        <x:v>PROJECT 映射到当前项目</x:v>
      </x:c>
      <x:c r="D9" s="127" t="str">
        <x:v>写入生产层</x:v>
      </x:c>
      <x:c r="E9" s="128" t="str">
        <x:v>上传前确认顶部当前项目</x:v>
      </x:c>
    </x:row>
    <x:row r="10" ht="52.79999923706055" hidden="0" customHeight="1">
      <x:c r="A10" s="49" t="str">
        <x:v>对象映射</x:v>
      </x:c>
      <x:c r="B10" s="133" t="n">
        <x:v>32</x:v>
      </x:c>
      <x:c r="C10" s="50" t="str">
        <x:v>PROJECT 1 + 实际新建 31</x:v>
      </x:c>
      <x:c r="D10" s="50" t="str">
        <x:v>查看对象映射</x:v>
      </x:c>
      <x:c r="E10" s="51" t="str">
        <x:v>跨资源 sourceId 是否一致</x:v>
      </x:c>
    </x:row>
    <x:row r="11" ht="66" hidden="0" customHeight="1">
      <x:c r="A11" s="126" t="str">
        <x:v>反向变更日志</x:v>
      </x:c>
      <x:c r="B11" s="135" t="n">
        <x:v>41</x:v>
      </x:c>
      <x:c r="C11" s="127" t="str">
        <x:v>楼栋1 + 房屋20 + 客户10 + 关系10</x:v>
      </x:c>
      <x:c r="D11" s="127" t="str">
        <x:v>写入生产层</x:v>
      </x:c>
      <x:c r="E11" s="128" t="str">
        <x:v>每个 ROOM 还会记录 room_detail</x:v>
      </x:c>
    </x:row>
    <x:row r="12" ht="52.79999923706055" hidden="0" customHeight="1">
      <x:c r="A12" s="49" t="str">
        <x:v>对账项</x:v>
      </x:c>
      <x:c r="B12" s="133" t="n">
        <x:v>9</x:v>
      </x:c>
      <x:c r="C12" s="50" t="str">
        <x:v>全部 MATCHED，差异均为 0</x:v>
      </x:c>
      <x:c r="D12" s="50" t="str">
        <x:v>执行对账</x:v>
      </x:c>
      <x:c r="E12" s="51" t="str">
        <x:v>数量、面积、孤儿和重复有效关系</x:v>
      </x:c>
    </x:row>
    <x:row r="13" ht="52.79999923706055" hidden="0" customHeight="1">
      <x:c r="A13" s="126" t="str">
        <x:v>建筑面积合计</x:v>
      </x:c>
      <x:c r="B13" s="135" t="n">
        <x:v>855</x:v>
      </x:c>
      <x:c r="C13" s="127" t="str">
        <x:v>来源与目标均为 855.00</x:v>
      </x:c>
      <x:c r="D13" s="127" t="str">
        <x:v>查看 BUILDING_AREA_SUM</x:v>
      </x:c>
      <x:c r="E13" s="128" t="str">
        <x:v>81..90 的和</x:v>
      </x:c>
    </x:row>
    <x:row r="14" ht="39.599998474121094" hidden="0" customHeight="1">
      <x:c r="A14" s="49" t="str">
        <x:v>可用面积合计</x:v>
      </x:c>
      <x:c r="B14" s="133" t="n">
        <x:v>655</x:v>
      </x:c>
      <x:c r="C14" s="50" t="str">
        <x:v>来源与目标均为 655.00</x:v>
      </x:c>
      <x:c r="D14" s="50" t="str">
        <x:v>查看 USABLE_AREA_SUM</x:v>
      </x:c>
      <x:c r="E14" s="51" t="str">
        <x:v>61..70 的和</x:v>
      </x:c>
    </x:row>
    <x:row r="15" ht="79.19999694824219" hidden="0" customHeight="1">
      <x:c r="A15" s="129" t="str">
        <x:v>回滚剩余目标</x:v>
      </x:c>
      <x:c r="B15" s="136" t="n">
        <x:v>0</x:v>
      </x:c>
      <x:c r="C15" s="130" t="str">
        <x:v>ROLLBACK_REMAINING_TARGET_COUNT 为 MATCHED</x:v>
      </x:c>
      <x:c r="D15" s="130" t="str">
        <x:v>逆序回滚</x:v>
      </x:c>
      <x:c r="E15" s="131" t="str">
        <x:v>回滚凭证、批次版本和管理员权限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9a7dd4e3af54f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8" hidden="0" customWidth="1"/>
    <x:col min="2" max="2" width="18" hidden="0" customWidth="1"/>
    <x:col min="3" max="3" width="34" hidden="0" customWidth="1"/>
    <x:col min="4" max="4" width="56" hidden="0" customWidth="1"/>
    <x:col min="5" max="5" width="14" hidden="0" customWidth="1"/>
    <x:col min="6" max="6" width="30" hidden="0" customWidth="1"/>
  </x:cols>
  <x:sheetData>
    <x:row r="1" ht="30" customHeight="1">
      <x:c r="A1" s="4" t="str">
        <x:v>文件用途与重复测试规则</x:v>
      </x:c>
      <x:c r="B1" s="4" t="str">
        <x:v>文件用途与重复测试规则</x:v>
      </x:c>
      <x:c r="C1" s="4" t="str">
        <x:v>文件用途与重复测试规则</x:v>
      </x:c>
      <x:c r="D1" s="4" t="str">
        <x:v>文件用途与重复测试规则</x:v>
      </x:c>
      <x:c r="E1" s="4" t="str">
        <x:v>文件用途与重复测试规则</x:v>
      </x:c>
      <x:c r="F1" s="4" t="str">
        <x:v>文件用途与重复测试规则</x:v>
      </x:c>
    </x:row>
    <x:row r="2">
      <x:c r="A2" s="1"/>
      <x:c r="B2" s="1"/>
      <x:c r="C2" s="1"/>
      <x:c r="D2" s="1"/>
      <x:c r="E2" s="1"/>
      <x:c r="F2" s="1"/>
    </x:row>
    <x:row r="3" ht="30" customHeight="1">
      <x:c r="A3" s="26" t="str">
        <x:v>文件</x:v>
      </x:c>
      <x:c r="B3" s="27" t="str">
        <x:v>是否可直接上传</x:v>
      </x:c>
      <x:c r="C3" s="27" t="str">
        <x:v>用途</x:v>
      </x:c>
      <x:c r="D3" s="27" t="str">
        <x:v>修改规则</x:v>
      </x:c>
      <x:c r="E3" s="27" t="str">
        <x:v>敏感数据</x:v>
      </x:c>
      <x:c r="F3" s="28" t="str">
        <x:v>推荐操作</x:v>
      </x:c>
    </x:row>
    <x:row r="4">
      <x:c r="A4" s="46" t="str">
        <x:v>delivery/sample-data/PMS3-migration-sample-32-valid-1-invalid.json</x:v>
      </x:c>
      <x:c r="B4" s="47" t="str">
        <x:v>是</x:v>
      </x:c>
      <x:c r="C4" s="47" t="str">
        <x:v>系统迁移中心上传文件</x:v>
      </x:c>
      <x:c r="D4" s="47" t="str">
        <x:v>完整回滚后只需修改顶层 mappingVersion；未回滚时还要替换全部 D01 标识</x:v>
      </x:c>
      <x:c r="E4" s="47" t="str">
        <x:v>无</x:v>
      </x:c>
      <x:c r="F4" s="48" t="str">
        <x:v>首次测试直接上传</x:v>
      </x:c>
    </x:row>
    <x:row r="5">
      <x:c r="A5" s="52" t="str">
        <x:v>PMS3模拟导入数据-32条合格1条隔离.xlsx</x:v>
      </x:c>
      <x:c r="B5" s="53" t="str">
        <x:v>否</x:v>
      </x:c>
      <x:c r="C5" s="53" t="str">
        <x:v>字段核对、数据评审和验收记录</x:v>
      </x:c>
      <x:c r="D5" s="53" t="str">
        <x:v>修改后需转换回系统接受的 JSON 结构</x:v>
      </x:c>
      <x:c r="E5" s="53" t="str">
        <x:v>无</x:v>
      </x:c>
      <x:c r="F5" s="54" t="str">
        <x:v>交付前由业务人员审阅</x:v>
      </x:c>
    </x:row>
    <x:row r="6">
      <x:c r="A6" s="1"/>
      <x:c r="B6" s="1"/>
      <x:c r="C6" s="1"/>
      <x:c r="D6" s="1"/>
      <x:c r="E6" s="1"/>
      <x:c r="F6" s="1"/>
    </x:row>
    <x:row r="7" ht="24" customHeight="1">
      <x:c r="A7" s="19" t="str">
        <x:v>生成一个全新批次（避免安全重放）</x:v>
      </x:c>
      <x:c r="B7" s="19" t="str">
        <x:v>生成一个全新批次（避免安全重放）</x:v>
      </x:c>
      <x:c r="C7" s="19" t="str">
        <x:v>生成一个全新批次（避免安全重放）</x:v>
      </x:c>
      <x:c r="D7" s="19" t="str">
        <x:v>生成一个全新批次（避免安全重放）</x:v>
      </x:c>
      <x:c r="E7" s="19" t="str">
        <x:v>生成一个全新批次（避免安全重放）</x:v>
      </x:c>
      <x:c r="F7" s="19" t="str">
        <x:v>生成一个全新批次（避免安全重放）</x:v>
      </x:c>
    </x:row>
    <x:row r="8">
      <x:c r="A8" s="137" t="str">
        <x:v>1. 如果上一次已完整回滚：把 JSON 顶层 mappingVersion 从 property-v1-delivery-01 改为 property-v1-delivery-02。</x:v>
      </x:c>
      <x:c r="B8" s="137" t="str">
        <x:v>1. 如果上一次已完整回滚：把 JSON 顶层 mappingVersion 从 property-v1-delivery-01 改为 property-v1-delivery-02。</x:v>
      </x:c>
      <x:c r="C8" s="137" t="str">
        <x:v>1. 如果上一次已完整回滚：把 JSON 顶层 mappingVersion 从 property-v1-delivery-01 改为 property-v1-delivery-02。</x:v>
      </x:c>
      <x:c r="D8" s="137" t="str">
        <x:v>1. 如果上一次已完整回滚：把 JSON 顶层 mappingVersion 从 property-v1-delivery-01 改为 property-v1-delivery-02。</x:v>
      </x:c>
      <x:c r="E8" s="137" t="str">
        <x:v>1. 如果上一次已完整回滚：把 JSON 顶层 mappingVersion 从 property-v1-delivery-01 改为 property-v1-delivery-02。</x:v>
      </x:c>
      <x:c r="F8" s="137" t="str">
        <x:v>1. 如果上一次已完整回滚：把 JSON 顶层 mappingVersion 从 property-v1-delivery-01 改为 property-v1-delivery-02。</x:v>
      </x:c>
    </x:row>
    <x:row r="9">
      <x:c r="A9" s="137" t="str">
        <x:v>2. 如果上一次未回滚：先完成回滚；确需并存时，全文替换 20260903-D01 为一个新且一致的后缀。</x:v>
      </x:c>
      <x:c r="B9" s="137" t="str">
        <x:v>2. 如果上一次未回滚：先完成回滚；确需并存时，全文替换 20260903-D01 为一个新且一致的后缀。</x:v>
      </x:c>
      <x:c r="C9" s="137" t="str">
        <x:v>2. 如果上一次未回滚：先完成回滚；确需并存时，全文替换 20260903-D01 为一个新且一致的后缀。</x:v>
      </x:c>
      <x:c r="D9" s="137" t="str">
        <x:v>2. 如果上一次未回滚：先完成回滚；确需并存时，全文替换 20260903-D01 为一个新且一致的后缀。</x:v>
      </x:c>
      <x:c r="E9" s="137" t="str">
        <x:v>2. 如果上一次未回滚：先完成回滚；确需并存时，全文替换 20260903-D01 为一个新且一致的后缀。</x:v>
      </x:c>
      <x:c r="F9" s="137" t="str">
        <x:v>2. 如果上一次未回滚：先完成回滚；确需并存时，全文替换 20260903-D01 为一个新且一致的后缀。</x:v>
      </x:c>
    </x:row>
    <x:row r="10">
      <x:c r="A10" s="137" t="str">
        <x:v>3. 不要只改 sourceId 而漏改 projectSourceId / buildingSourceId / customerSourceId / assetSourceId。</x:v>
      </x:c>
      <x:c r="B10" s="137" t="str">
        <x:v>3. 不要只改 sourceId 而漏改 projectSourceId / buildingSourceId / customerSourceId / assetSourceId。</x:v>
      </x:c>
      <x:c r="C10" s="137" t="str">
        <x:v>3. 不要只改 sourceId 而漏改 projectSourceId / buildingSourceId / customerSourceId / assetSourceId。</x:v>
      </x:c>
      <x:c r="D10" s="137" t="str">
        <x:v>3. 不要只改 sourceId 而漏改 projectSourceId / buildingSourceId / customerSourceId / assetSourceId。</x:v>
      </x:c>
      <x:c r="E10" s="137" t="str">
        <x:v>3. 不要只改 sourceId 而漏改 projectSourceId / buildingSourceId / customerSourceId / assetSourceId。</x:v>
      </x:c>
      <x:c r="F10" s="137" t="str">
        <x:v>3. 不要只改 sourceId 而漏改 projectSourceId / buildingSourceId / customerSourceId / assetSourceId。</x:v>
      </x:c>
    </x:row>
    <x:row r="11">
      <x:c r="A11" s="137" t="str">
        <x:v>4. 不要放入真实姓名、完整手机号、身份证号、生产系统 Cookie、令牌或密码。</x:v>
      </x:c>
      <x:c r="B11" s="137" t="str">
        <x:v>4. 不要放入真实姓名、完整手机号、身份证号、生产系统 Cookie、令牌或密码。</x:v>
      </x:c>
      <x:c r="C11" s="137" t="str">
        <x:v>4. 不要放入真实姓名、完整手机号、身份证号、生产系统 Cookie、令牌或密码。</x:v>
      </x:c>
      <x:c r="D11" s="137" t="str">
        <x:v>4. 不要放入真实姓名、完整手机号、身份证号、生产系统 Cookie、令牌或密码。</x:v>
      </x:c>
      <x:c r="E11" s="137" t="str">
        <x:v>4. 不要放入真实姓名、完整手机号、身份证号、生产系统 Cookie、令牌或密码。</x:v>
      </x:c>
      <x:c r="F11" s="137" t="str">
        <x:v>4. 不要放入真实姓名、完整手机号、身份证号、生产系统 Cookie、令牌或密码。</x:v>
      </x:c>
    </x:row>
  </x:sheetData>
  <x:mergeCells>
    <x:mergeCell ref="A1:F1"/>
    <x:mergeCell ref="A7:F7"/>
    <x:mergeCell ref="A8:F8"/>
    <x:mergeCell ref="A9:F9"/>
    <x:mergeCell ref="A10:F10"/>
    <x:mergeCell ref="A11:F11"/>
  </x:mergeCells>
  <x:conditionalFormatting sqref="B4:B5">
    <x:cfRule type="containsText" dxfId="3" priority="1" operator="containsText" text="是"/>
    <x:cfRule type="containsText" dxfId="4" priority="2" operator="containsText" text="否"/>
  </x:conditionalFormatting>
  <x:pageMargins left="0.7" right="0.7" top="0.75" bottom="0.75" header="0.3" footer="0.3"/>
</x:worksheet>
</file>